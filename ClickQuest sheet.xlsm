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E:\Programowanie\Stukeley\ClickQuest\"/>
    </mc:Choice>
  </mc:AlternateContent>
  <bookViews>
    <workbookView xWindow="0" yWindow="0" windowWidth="28800" windowHeight="12435"/>
  </bookViews>
  <sheets>
    <sheet name="Klasy" sheetId="1" r:id="rId1"/>
    <sheet name="Doświadczeni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G5" i="1" s="1"/>
  <c r="G16" i="1"/>
  <c r="G52" i="1"/>
  <c r="G60" i="1"/>
  <c r="G84" i="1"/>
  <c r="G92" i="1"/>
  <c r="V4" i="1"/>
  <c r="F4" i="1" s="1"/>
  <c r="F8" i="1"/>
  <c r="F11" i="1"/>
  <c r="F12" i="1"/>
  <c r="F15" i="1"/>
  <c r="F16" i="1"/>
  <c r="F19" i="1"/>
  <c r="F20" i="1"/>
  <c r="F23" i="1"/>
  <c r="F24" i="1"/>
  <c r="F27" i="1"/>
  <c r="F28" i="1"/>
  <c r="F31" i="1"/>
  <c r="F32" i="1"/>
  <c r="F35" i="1"/>
  <c r="F36" i="1"/>
  <c r="F39" i="1"/>
  <c r="F40" i="1"/>
  <c r="F43" i="1"/>
  <c r="F44" i="1"/>
  <c r="F47" i="1"/>
  <c r="F48" i="1"/>
  <c r="F51" i="1"/>
  <c r="F52" i="1"/>
  <c r="F55" i="1"/>
  <c r="F56" i="1"/>
  <c r="F59" i="1"/>
  <c r="F60" i="1"/>
  <c r="F63" i="1"/>
  <c r="F64" i="1"/>
  <c r="F67" i="1"/>
  <c r="F68" i="1"/>
  <c r="F71" i="1"/>
  <c r="F72" i="1"/>
  <c r="F75" i="1"/>
  <c r="F76" i="1"/>
  <c r="F79" i="1"/>
  <c r="F80" i="1"/>
  <c r="F83" i="1"/>
  <c r="F84" i="1"/>
  <c r="F87" i="1"/>
  <c r="F88" i="1"/>
  <c r="F91" i="1"/>
  <c r="F92" i="1"/>
  <c r="F95" i="1"/>
  <c r="F96" i="1"/>
  <c r="F99" i="1"/>
  <c r="F100" i="1"/>
  <c r="F103" i="1"/>
  <c r="F3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2" i="2"/>
  <c r="C3" i="2" s="1"/>
  <c r="S4" i="1"/>
  <c r="C5" i="1" s="1"/>
  <c r="D5" i="1" s="1"/>
  <c r="F5" i="1"/>
  <c r="G76" i="1" l="1"/>
  <c r="G44" i="1"/>
  <c r="G100" i="1"/>
  <c r="G68" i="1"/>
  <c r="G32" i="1"/>
  <c r="G91" i="1"/>
  <c r="G75" i="1"/>
  <c r="G59" i="1"/>
  <c r="G43" i="1"/>
  <c r="G12" i="1"/>
  <c r="G3" i="1"/>
  <c r="G96" i="1"/>
  <c r="G88" i="1"/>
  <c r="G80" i="1"/>
  <c r="G72" i="1"/>
  <c r="G64" i="1"/>
  <c r="G56" i="1"/>
  <c r="G48" i="1"/>
  <c r="G40" i="1"/>
  <c r="G24" i="1"/>
  <c r="G8" i="1"/>
  <c r="G99" i="1"/>
  <c r="G83" i="1"/>
  <c r="G67" i="1"/>
  <c r="G51" i="1"/>
  <c r="G28" i="1"/>
  <c r="G103" i="1"/>
  <c r="G95" i="1"/>
  <c r="G87" i="1"/>
  <c r="G79" i="1"/>
  <c r="G71" i="1"/>
  <c r="G63" i="1"/>
  <c r="G55" i="1"/>
  <c r="G47" i="1"/>
  <c r="G36" i="1"/>
  <c r="G20" i="1"/>
  <c r="G4" i="1"/>
  <c r="G39" i="1"/>
  <c r="G35" i="1"/>
  <c r="G31" i="1"/>
  <c r="G27" i="1"/>
  <c r="G23" i="1"/>
  <c r="G19" i="1"/>
  <c r="G15" i="1"/>
  <c r="G11" i="1"/>
  <c r="G7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F7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C99" i="1"/>
  <c r="D99" i="1" s="1"/>
  <c r="C91" i="1"/>
  <c r="D91" i="1" s="1"/>
  <c r="C83" i="1"/>
  <c r="D83" i="1" s="1"/>
  <c r="C75" i="1"/>
  <c r="D75" i="1" s="1"/>
  <c r="C67" i="1"/>
  <c r="D67" i="1" s="1"/>
  <c r="C59" i="1"/>
  <c r="D59" i="1" s="1"/>
  <c r="C51" i="1"/>
  <c r="D51" i="1" s="1"/>
  <c r="C43" i="1"/>
  <c r="D43" i="1" s="1"/>
  <c r="C35" i="1"/>
  <c r="D35" i="1" s="1"/>
  <c r="C27" i="1"/>
  <c r="D27" i="1" s="1"/>
  <c r="C19" i="1"/>
  <c r="D19" i="1" s="1"/>
  <c r="C11" i="1"/>
  <c r="D11" i="1" s="1"/>
  <c r="C3" i="1"/>
  <c r="D3" i="1" s="1"/>
  <c r="C96" i="1"/>
  <c r="D96" i="1" s="1"/>
  <c r="C88" i="1"/>
  <c r="D88" i="1" s="1"/>
  <c r="C80" i="1"/>
  <c r="D80" i="1" s="1"/>
  <c r="C72" i="1"/>
  <c r="D72" i="1" s="1"/>
  <c r="C64" i="1"/>
  <c r="D64" i="1" s="1"/>
  <c r="C56" i="1"/>
  <c r="D56" i="1" s="1"/>
  <c r="C48" i="1"/>
  <c r="D48" i="1" s="1"/>
  <c r="C40" i="1"/>
  <c r="D40" i="1" s="1"/>
  <c r="C32" i="1"/>
  <c r="D32" i="1" s="1"/>
  <c r="C24" i="1"/>
  <c r="D24" i="1" s="1"/>
  <c r="C16" i="1"/>
  <c r="D16" i="1" s="1"/>
  <c r="C8" i="1"/>
  <c r="D8" i="1" s="1"/>
  <c r="C103" i="1"/>
  <c r="D103" i="1" s="1"/>
  <c r="C95" i="1"/>
  <c r="D95" i="1" s="1"/>
  <c r="C87" i="1"/>
  <c r="D87" i="1" s="1"/>
  <c r="C79" i="1"/>
  <c r="D79" i="1" s="1"/>
  <c r="C71" i="1"/>
  <c r="D71" i="1" s="1"/>
  <c r="C63" i="1"/>
  <c r="D63" i="1" s="1"/>
  <c r="C55" i="1"/>
  <c r="D55" i="1" s="1"/>
  <c r="C47" i="1"/>
  <c r="D47" i="1" s="1"/>
  <c r="C39" i="1"/>
  <c r="D39" i="1" s="1"/>
  <c r="C31" i="1"/>
  <c r="D31" i="1" s="1"/>
  <c r="C23" i="1"/>
  <c r="D23" i="1" s="1"/>
  <c r="C15" i="1"/>
  <c r="D15" i="1" s="1"/>
  <c r="C7" i="1"/>
  <c r="D7" i="1" s="1"/>
  <c r="C100" i="1"/>
  <c r="D100" i="1" s="1"/>
  <c r="C92" i="1"/>
  <c r="D92" i="1" s="1"/>
  <c r="C84" i="1"/>
  <c r="D84" i="1" s="1"/>
  <c r="C76" i="1"/>
  <c r="D76" i="1" s="1"/>
  <c r="C68" i="1"/>
  <c r="D68" i="1" s="1"/>
  <c r="C60" i="1"/>
  <c r="D60" i="1" s="1"/>
  <c r="C52" i="1"/>
  <c r="D52" i="1" s="1"/>
  <c r="C44" i="1"/>
  <c r="D44" i="1" s="1"/>
  <c r="C36" i="1"/>
  <c r="D36" i="1" s="1"/>
  <c r="C28" i="1"/>
  <c r="D28" i="1" s="1"/>
  <c r="C20" i="1"/>
  <c r="D20" i="1" s="1"/>
  <c r="C12" i="1"/>
  <c r="D12" i="1" s="1"/>
  <c r="C4" i="1"/>
  <c r="D4" i="1" s="1"/>
  <c r="C102" i="1"/>
  <c r="D102" i="1" s="1"/>
  <c r="C98" i="1"/>
  <c r="D98" i="1" s="1"/>
  <c r="C94" i="1"/>
  <c r="D94" i="1" s="1"/>
  <c r="C90" i="1"/>
  <c r="D90" i="1" s="1"/>
  <c r="C86" i="1"/>
  <c r="D86" i="1" s="1"/>
  <c r="C82" i="1"/>
  <c r="D82" i="1" s="1"/>
  <c r="C78" i="1"/>
  <c r="D78" i="1" s="1"/>
  <c r="C74" i="1"/>
  <c r="D74" i="1" s="1"/>
  <c r="C70" i="1"/>
  <c r="D70" i="1" s="1"/>
  <c r="C66" i="1"/>
  <c r="D66" i="1" s="1"/>
  <c r="C62" i="1"/>
  <c r="D62" i="1" s="1"/>
  <c r="C58" i="1"/>
  <c r="D58" i="1" s="1"/>
  <c r="C54" i="1"/>
  <c r="D54" i="1" s="1"/>
  <c r="C50" i="1"/>
  <c r="D50" i="1" s="1"/>
  <c r="C46" i="1"/>
  <c r="D46" i="1" s="1"/>
  <c r="C42" i="1"/>
  <c r="D42" i="1" s="1"/>
  <c r="C38" i="1"/>
  <c r="D38" i="1" s="1"/>
  <c r="C34" i="1"/>
  <c r="D34" i="1" s="1"/>
  <c r="C30" i="1"/>
  <c r="D30" i="1" s="1"/>
  <c r="C26" i="1"/>
  <c r="D26" i="1" s="1"/>
  <c r="C22" i="1"/>
  <c r="D22" i="1" s="1"/>
  <c r="C18" i="1"/>
  <c r="D18" i="1" s="1"/>
  <c r="C14" i="1"/>
  <c r="D14" i="1" s="1"/>
  <c r="C10" i="1"/>
  <c r="D10" i="1" s="1"/>
  <c r="C6" i="1"/>
  <c r="D6" i="1" s="1"/>
  <c r="C101" i="1"/>
  <c r="D101" i="1" s="1"/>
  <c r="C97" i="1"/>
  <c r="D97" i="1" s="1"/>
  <c r="C93" i="1"/>
  <c r="D93" i="1" s="1"/>
  <c r="C89" i="1"/>
  <c r="D89" i="1" s="1"/>
  <c r="C85" i="1"/>
  <c r="D85" i="1" s="1"/>
  <c r="C81" i="1"/>
  <c r="D81" i="1" s="1"/>
  <c r="C77" i="1"/>
  <c r="D77" i="1" s="1"/>
  <c r="C73" i="1"/>
  <c r="D73" i="1" s="1"/>
  <c r="C69" i="1"/>
  <c r="D69" i="1" s="1"/>
  <c r="C65" i="1"/>
  <c r="D65" i="1" s="1"/>
  <c r="C61" i="1"/>
  <c r="D61" i="1" s="1"/>
  <c r="C57" i="1"/>
  <c r="D57" i="1" s="1"/>
  <c r="C53" i="1"/>
  <c r="D53" i="1" s="1"/>
  <c r="C49" i="1"/>
  <c r="D49" i="1" s="1"/>
  <c r="C45" i="1"/>
  <c r="D45" i="1" s="1"/>
  <c r="C41" i="1"/>
  <c r="D41" i="1" s="1"/>
  <c r="C37" i="1"/>
  <c r="D37" i="1" s="1"/>
  <c r="C33" i="1"/>
  <c r="D33" i="1" s="1"/>
  <c r="C29" i="1"/>
  <c r="D29" i="1" s="1"/>
  <c r="C25" i="1"/>
  <c r="D25" i="1" s="1"/>
  <c r="C21" i="1"/>
  <c r="D21" i="1" s="1"/>
  <c r="C17" i="1"/>
  <c r="D17" i="1" s="1"/>
  <c r="C13" i="1"/>
  <c r="D13" i="1" s="1"/>
  <c r="C9" i="1"/>
  <c r="D9" i="1" s="1"/>
  <c r="C9" i="2"/>
  <c r="C85" i="2"/>
  <c r="C81" i="2"/>
  <c r="C49" i="2"/>
  <c r="C33" i="2"/>
  <c r="C7" i="2"/>
  <c r="C22" i="2"/>
  <c r="C29" i="2"/>
  <c r="C66" i="2"/>
  <c r="C58" i="2"/>
  <c r="C106" i="2"/>
  <c r="C102" i="2"/>
  <c r="C90" i="2"/>
  <c r="C86" i="2"/>
  <c r="C50" i="2"/>
  <c r="C42" i="2"/>
  <c r="C34" i="2"/>
  <c r="C111" i="2"/>
  <c r="C103" i="2"/>
  <c r="C100" i="2"/>
  <c r="C95" i="2"/>
  <c r="C92" i="2"/>
  <c r="C83" i="2"/>
  <c r="C80" i="2"/>
  <c r="C75" i="2"/>
  <c r="C72" i="2"/>
  <c r="C67" i="2"/>
  <c r="C63" i="2"/>
  <c r="C56" i="2"/>
  <c r="C52" i="2"/>
  <c r="C48" i="2"/>
  <c r="C44" i="2"/>
  <c r="C40" i="2"/>
  <c r="C35" i="2"/>
  <c r="C31" i="2"/>
  <c r="C28" i="2"/>
  <c r="C24" i="2"/>
  <c r="C20" i="2"/>
  <c r="C16" i="2"/>
  <c r="C12" i="2"/>
  <c r="C8" i="2"/>
  <c r="C26" i="2"/>
  <c r="C14" i="2"/>
  <c r="C105" i="2"/>
  <c r="C97" i="2"/>
  <c r="C93" i="2"/>
  <c r="C108" i="2"/>
  <c r="C82" i="2"/>
  <c r="C53" i="2"/>
  <c r="C39" i="2"/>
  <c r="C109" i="2"/>
  <c r="C65" i="2"/>
  <c r="C61" i="2"/>
  <c r="C45" i="2"/>
  <c r="C37" i="2"/>
  <c r="C21" i="2"/>
  <c r="C17" i="2"/>
  <c r="C5" i="2"/>
  <c r="C19" i="2"/>
  <c r="C68" i="2"/>
  <c r="C99" i="2"/>
  <c r="C91" i="2"/>
  <c r="C87" i="2"/>
  <c r="C74" i="2"/>
  <c r="C59" i="2"/>
  <c r="C54" i="2"/>
  <c r="C47" i="2"/>
  <c r="C27" i="2"/>
  <c r="C15" i="2"/>
  <c r="C11" i="2"/>
  <c r="C6" i="2"/>
  <c r="C84" i="2"/>
  <c r="C43" i="2"/>
  <c r="C76" i="2"/>
  <c r="C110" i="2"/>
  <c r="C55" i="2"/>
  <c r="C36" i="2"/>
  <c r="C79" i="2"/>
  <c r="C98" i="2"/>
  <c r="C10" i="2"/>
  <c r="C70" i="2"/>
  <c r="C38" i="2"/>
  <c r="C69" i="2"/>
  <c r="C64" i="2"/>
  <c r="C101" i="2"/>
  <c r="C77" i="2"/>
  <c r="C88" i="2"/>
  <c r="C51" i="2"/>
  <c r="C23" i="2"/>
  <c r="C112" i="2"/>
  <c r="C104" i="2"/>
  <c r="C96" i="2"/>
  <c r="C71" i="2"/>
  <c r="C60" i="2"/>
  <c r="C32" i="2"/>
  <c r="C107" i="2"/>
  <c r="C94" i="2"/>
  <c r="C78" i="2"/>
  <c r="C62" i="2"/>
  <c r="C46" i="2"/>
  <c r="C30" i="2"/>
  <c r="C18" i="2"/>
  <c r="C89" i="2"/>
  <c r="C73" i="2"/>
  <c r="C57" i="2"/>
  <c r="C41" i="2"/>
  <c r="C25" i="2"/>
  <c r="C13" i="2"/>
  <c r="C4" i="2"/>
</calcChain>
</file>

<file path=xl/sharedStrings.xml><?xml version="1.0" encoding="utf-8"?>
<sst xmlns="http://schemas.openxmlformats.org/spreadsheetml/2006/main" count="32" uniqueCount="32">
  <si>
    <t>Slayer</t>
  </si>
  <si>
    <t>Venom</t>
  </si>
  <si>
    <t>AD per lvl</t>
  </si>
  <si>
    <t>Level</t>
  </si>
  <si>
    <t>Slayer DMG</t>
  </si>
  <si>
    <t>Venom DMG</t>
  </si>
  <si>
    <t>Clicks</t>
  </si>
  <si>
    <t>Base AD</t>
  </si>
  <si>
    <t>Slayer crit chance/lvl</t>
  </si>
  <si>
    <t>Venom poison dmg/lvl</t>
  </si>
  <si>
    <t xml:space="preserve">Total XP </t>
  </si>
  <si>
    <t>XP to next lvl</t>
  </si>
  <si>
    <t>Rounding errors?</t>
  </si>
  <si>
    <t>Formula:</t>
  </si>
  <si>
    <t>Level (x)</t>
  </si>
  <si>
    <t>A</t>
  </si>
  <si>
    <t>B</t>
  </si>
  <si>
    <t>x</t>
  </si>
  <si>
    <t>C</t>
  </si>
  <si>
    <t>D</t>
  </si>
  <si>
    <t>(level)</t>
  </si>
  <si>
    <t>Poison DPS</t>
  </si>
  <si>
    <t>Numer of crits</t>
  </si>
  <si>
    <t>GENERAL SETUP</t>
  </si>
  <si>
    <t>SLAYER SETUP</t>
  </si>
  <si>
    <t>VENOM SETUP</t>
  </si>
  <si>
    <t>Time, s</t>
  </si>
  <si>
    <t>Average clicks/s</t>
  </si>
  <si>
    <t>Venom ticks (start after 1s)</t>
  </si>
  <si>
    <t>Venom base poison dmg</t>
  </si>
  <si>
    <t>Slayer base crit chance</t>
  </si>
  <si>
    <t>Slayer max crit chance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</si>
</sst>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Class damage comparison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Slayer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Klasy!$D$3:$D$102</c:f>
              <c:numCache>
                <c:formatCode>General</c:formatCode>
                <c:ptCount val="100"/>
                <c:pt idx="0">
                  <c:v>176</c:v>
                </c:pt>
                <c:pt idx="1">
                  <c:v>264</c:v>
                </c:pt>
                <c:pt idx="2">
                  <c:v>356</c:v>
                </c:pt>
                <c:pt idx="3">
                  <c:v>445</c:v>
                </c:pt>
                <c:pt idx="4">
                  <c:v>534</c:v>
                </c:pt>
                <c:pt idx="5">
                  <c:v>623</c:v>
                </c:pt>
                <c:pt idx="6">
                  <c:v>720</c:v>
                </c:pt>
                <c:pt idx="7">
                  <c:v>810</c:v>
                </c:pt>
                <c:pt idx="8">
                  <c:v>900</c:v>
                </c:pt>
                <c:pt idx="9">
                  <c:v>1001</c:v>
                </c:pt>
                <c:pt idx="10">
                  <c:v>1092</c:v>
                </c:pt>
                <c:pt idx="11">
                  <c:v>1183</c:v>
                </c:pt>
                <c:pt idx="12">
                  <c:v>1274</c:v>
                </c:pt>
                <c:pt idx="13">
                  <c:v>1380</c:v>
                </c:pt>
                <c:pt idx="14">
                  <c:v>1472</c:v>
                </c:pt>
                <c:pt idx="15">
                  <c:v>1564</c:v>
                </c:pt>
                <c:pt idx="16">
                  <c:v>1656</c:v>
                </c:pt>
                <c:pt idx="17">
                  <c:v>1767</c:v>
                </c:pt>
                <c:pt idx="18">
                  <c:v>1860</c:v>
                </c:pt>
                <c:pt idx="19">
                  <c:v>1953</c:v>
                </c:pt>
                <c:pt idx="20">
                  <c:v>2068</c:v>
                </c:pt>
                <c:pt idx="21">
                  <c:v>2162</c:v>
                </c:pt>
                <c:pt idx="22">
                  <c:v>2256</c:v>
                </c:pt>
                <c:pt idx="23">
                  <c:v>2350</c:v>
                </c:pt>
                <c:pt idx="24">
                  <c:v>2470</c:v>
                </c:pt>
                <c:pt idx="25">
                  <c:v>2565</c:v>
                </c:pt>
                <c:pt idx="26">
                  <c:v>2660</c:v>
                </c:pt>
                <c:pt idx="27">
                  <c:v>2784</c:v>
                </c:pt>
                <c:pt idx="28">
                  <c:v>2880</c:v>
                </c:pt>
                <c:pt idx="29">
                  <c:v>2976</c:v>
                </c:pt>
                <c:pt idx="30">
                  <c:v>3072</c:v>
                </c:pt>
                <c:pt idx="31">
                  <c:v>3201</c:v>
                </c:pt>
                <c:pt idx="32">
                  <c:v>3298</c:v>
                </c:pt>
                <c:pt idx="33">
                  <c:v>3395</c:v>
                </c:pt>
                <c:pt idx="34">
                  <c:v>3528</c:v>
                </c:pt>
                <c:pt idx="35">
                  <c:v>3626</c:v>
                </c:pt>
                <c:pt idx="36">
                  <c:v>3724</c:v>
                </c:pt>
                <c:pt idx="37">
                  <c:v>3822</c:v>
                </c:pt>
                <c:pt idx="38">
                  <c:v>3960</c:v>
                </c:pt>
                <c:pt idx="39">
                  <c:v>4059</c:v>
                </c:pt>
                <c:pt idx="40">
                  <c:v>4158</c:v>
                </c:pt>
                <c:pt idx="41">
                  <c:v>4257</c:v>
                </c:pt>
                <c:pt idx="42">
                  <c:v>4400</c:v>
                </c:pt>
                <c:pt idx="43">
                  <c:v>4500</c:v>
                </c:pt>
                <c:pt idx="44">
                  <c:v>4600</c:v>
                </c:pt>
                <c:pt idx="45">
                  <c:v>4747</c:v>
                </c:pt>
                <c:pt idx="46">
                  <c:v>4848</c:v>
                </c:pt>
                <c:pt idx="47">
                  <c:v>4949</c:v>
                </c:pt>
                <c:pt idx="48">
                  <c:v>5050</c:v>
                </c:pt>
                <c:pt idx="49">
                  <c:v>5202</c:v>
                </c:pt>
                <c:pt idx="50">
                  <c:v>5304</c:v>
                </c:pt>
                <c:pt idx="51">
                  <c:v>5406</c:v>
                </c:pt>
                <c:pt idx="52">
                  <c:v>5562</c:v>
                </c:pt>
                <c:pt idx="53">
                  <c:v>5665</c:v>
                </c:pt>
                <c:pt idx="54">
                  <c:v>5768</c:v>
                </c:pt>
                <c:pt idx="55">
                  <c:v>5871</c:v>
                </c:pt>
                <c:pt idx="56">
                  <c:v>6032</c:v>
                </c:pt>
                <c:pt idx="57">
                  <c:v>6136</c:v>
                </c:pt>
                <c:pt idx="58">
                  <c:v>6240</c:v>
                </c:pt>
                <c:pt idx="59">
                  <c:v>6405</c:v>
                </c:pt>
                <c:pt idx="60">
                  <c:v>6510</c:v>
                </c:pt>
                <c:pt idx="61">
                  <c:v>6615</c:v>
                </c:pt>
                <c:pt idx="62">
                  <c:v>6720</c:v>
                </c:pt>
                <c:pt idx="63">
                  <c:v>6890</c:v>
                </c:pt>
                <c:pt idx="64">
                  <c:v>6996</c:v>
                </c:pt>
                <c:pt idx="65">
                  <c:v>7102</c:v>
                </c:pt>
                <c:pt idx="66">
                  <c:v>7208</c:v>
                </c:pt>
                <c:pt idx="67">
                  <c:v>7383</c:v>
                </c:pt>
                <c:pt idx="68">
                  <c:v>7490</c:v>
                </c:pt>
                <c:pt idx="69">
                  <c:v>7597</c:v>
                </c:pt>
                <c:pt idx="70">
                  <c:v>7776</c:v>
                </c:pt>
                <c:pt idx="71">
                  <c:v>7884</c:v>
                </c:pt>
                <c:pt idx="72">
                  <c:v>7992</c:v>
                </c:pt>
                <c:pt idx="73">
                  <c:v>8100</c:v>
                </c:pt>
                <c:pt idx="74">
                  <c:v>8284</c:v>
                </c:pt>
                <c:pt idx="75">
                  <c:v>8393</c:v>
                </c:pt>
                <c:pt idx="76">
                  <c:v>8502</c:v>
                </c:pt>
                <c:pt idx="77">
                  <c:v>8690</c:v>
                </c:pt>
                <c:pt idx="78">
                  <c:v>8800</c:v>
                </c:pt>
                <c:pt idx="79">
                  <c:v>8910</c:v>
                </c:pt>
                <c:pt idx="80">
                  <c:v>9020</c:v>
                </c:pt>
                <c:pt idx="81">
                  <c:v>9213</c:v>
                </c:pt>
                <c:pt idx="82">
                  <c:v>9324</c:v>
                </c:pt>
                <c:pt idx="83">
                  <c:v>9435</c:v>
                </c:pt>
                <c:pt idx="84">
                  <c:v>9632</c:v>
                </c:pt>
                <c:pt idx="85">
                  <c:v>9744</c:v>
                </c:pt>
                <c:pt idx="86">
                  <c:v>9856</c:v>
                </c:pt>
                <c:pt idx="87">
                  <c:v>9968</c:v>
                </c:pt>
                <c:pt idx="88">
                  <c:v>10170</c:v>
                </c:pt>
                <c:pt idx="89">
                  <c:v>10283</c:v>
                </c:pt>
                <c:pt idx="90">
                  <c:v>10396</c:v>
                </c:pt>
                <c:pt idx="91">
                  <c:v>10509</c:v>
                </c:pt>
                <c:pt idx="92">
                  <c:v>10716</c:v>
                </c:pt>
                <c:pt idx="93">
                  <c:v>10830</c:v>
                </c:pt>
                <c:pt idx="94">
                  <c:v>10944</c:v>
                </c:pt>
                <c:pt idx="95">
                  <c:v>11155</c:v>
                </c:pt>
                <c:pt idx="96">
                  <c:v>11270</c:v>
                </c:pt>
                <c:pt idx="97">
                  <c:v>11385</c:v>
                </c:pt>
                <c:pt idx="98">
                  <c:v>11500</c:v>
                </c:pt>
                <c:pt idx="99">
                  <c:v>11716</c:v>
                </c:pt>
              </c:numCache>
            </c:numRef>
          </c:val>
          <c:smooth val="0"/>
        </c:ser>
        <c:ser>
          <c:idx val="1"/>
          <c:order val="1"/>
          <c:tx>
            <c:v>Venom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Klasy!$G$3:$G$103</c:f>
              <c:numCache>
                <c:formatCode>General</c:formatCode>
                <c:ptCount val="101"/>
                <c:pt idx="0">
                  <c:v>158</c:v>
                </c:pt>
                <c:pt idx="1">
                  <c:v>264</c:v>
                </c:pt>
                <c:pt idx="2">
                  <c:v>370</c:v>
                </c:pt>
                <c:pt idx="3">
                  <c:v>476</c:v>
                </c:pt>
                <c:pt idx="4">
                  <c:v>582</c:v>
                </c:pt>
                <c:pt idx="5">
                  <c:v>688</c:v>
                </c:pt>
                <c:pt idx="6">
                  <c:v>794</c:v>
                </c:pt>
                <c:pt idx="7">
                  <c:v>900</c:v>
                </c:pt>
                <c:pt idx="8">
                  <c:v>1006</c:v>
                </c:pt>
                <c:pt idx="9">
                  <c:v>1112</c:v>
                </c:pt>
                <c:pt idx="10">
                  <c:v>1218</c:v>
                </c:pt>
                <c:pt idx="11">
                  <c:v>1324</c:v>
                </c:pt>
                <c:pt idx="12">
                  <c:v>1430</c:v>
                </c:pt>
                <c:pt idx="13">
                  <c:v>1536</c:v>
                </c:pt>
                <c:pt idx="14">
                  <c:v>1642</c:v>
                </c:pt>
                <c:pt idx="15">
                  <c:v>1748</c:v>
                </c:pt>
                <c:pt idx="16">
                  <c:v>1854</c:v>
                </c:pt>
                <c:pt idx="17">
                  <c:v>1960</c:v>
                </c:pt>
                <c:pt idx="18">
                  <c:v>2066</c:v>
                </c:pt>
                <c:pt idx="19">
                  <c:v>2172</c:v>
                </c:pt>
                <c:pt idx="20">
                  <c:v>2278</c:v>
                </c:pt>
                <c:pt idx="21">
                  <c:v>2384</c:v>
                </c:pt>
                <c:pt idx="22">
                  <c:v>2490</c:v>
                </c:pt>
                <c:pt idx="23">
                  <c:v>2596</c:v>
                </c:pt>
                <c:pt idx="24">
                  <c:v>2702</c:v>
                </c:pt>
                <c:pt idx="25">
                  <c:v>2808</c:v>
                </c:pt>
                <c:pt idx="26">
                  <c:v>2914</c:v>
                </c:pt>
                <c:pt idx="27">
                  <c:v>3020</c:v>
                </c:pt>
                <c:pt idx="28">
                  <c:v>3126</c:v>
                </c:pt>
                <c:pt idx="29">
                  <c:v>3232</c:v>
                </c:pt>
                <c:pt idx="30">
                  <c:v>3338</c:v>
                </c:pt>
                <c:pt idx="31">
                  <c:v>3444</c:v>
                </c:pt>
                <c:pt idx="32">
                  <c:v>3550</c:v>
                </c:pt>
                <c:pt idx="33">
                  <c:v>3656</c:v>
                </c:pt>
                <c:pt idx="34">
                  <c:v>3762</c:v>
                </c:pt>
                <c:pt idx="35">
                  <c:v>3868</c:v>
                </c:pt>
                <c:pt idx="36">
                  <c:v>3974</c:v>
                </c:pt>
                <c:pt idx="37">
                  <c:v>4080</c:v>
                </c:pt>
                <c:pt idx="38">
                  <c:v>4186</c:v>
                </c:pt>
                <c:pt idx="39">
                  <c:v>4292</c:v>
                </c:pt>
                <c:pt idx="40">
                  <c:v>4398</c:v>
                </c:pt>
                <c:pt idx="41">
                  <c:v>4504</c:v>
                </c:pt>
                <c:pt idx="42">
                  <c:v>4610</c:v>
                </c:pt>
                <c:pt idx="43">
                  <c:v>4716</c:v>
                </c:pt>
                <c:pt idx="44">
                  <c:v>4822</c:v>
                </c:pt>
                <c:pt idx="45">
                  <c:v>4928</c:v>
                </c:pt>
                <c:pt idx="46">
                  <c:v>5034</c:v>
                </c:pt>
                <c:pt idx="47">
                  <c:v>5140</c:v>
                </c:pt>
                <c:pt idx="48">
                  <c:v>5246</c:v>
                </c:pt>
                <c:pt idx="49">
                  <c:v>5352</c:v>
                </c:pt>
                <c:pt idx="50">
                  <c:v>5458</c:v>
                </c:pt>
                <c:pt idx="51">
                  <c:v>5564</c:v>
                </c:pt>
                <c:pt idx="52">
                  <c:v>5670</c:v>
                </c:pt>
                <c:pt idx="53">
                  <c:v>5776</c:v>
                </c:pt>
                <c:pt idx="54">
                  <c:v>5882</c:v>
                </c:pt>
                <c:pt idx="55">
                  <c:v>5988</c:v>
                </c:pt>
                <c:pt idx="56">
                  <c:v>6094</c:v>
                </c:pt>
                <c:pt idx="57">
                  <c:v>6200</c:v>
                </c:pt>
                <c:pt idx="58">
                  <c:v>6306</c:v>
                </c:pt>
                <c:pt idx="59">
                  <c:v>6412</c:v>
                </c:pt>
                <c:pt idx="60">
                  <c:v>6518</c:v>
                </c:pt>
                <c:pt idx="61">
                  <c:v>6624</c:v>
                </c:pt>
                <c:pt idx="62">
                  <c:v>6730</c:v>
                </c:pt>
                <c:pt idx="63">
                  <c:v>6836</c:v>
                </c:pt>
                <c:pt idx="64">
                  <c:v>6942</c:v>
                </c:pt>
                <c:pt idx="65">
                  <c:v>7048</c:v>
                </c:pt>
                <c:pt idx="66">
                  <c:v>7154</c:v>
                </c:pt>
                <c:pt idx="67">
                  <c:v>7260</c:v>
                </c:pt>
                <c:pt idx="68">
                  <c:v>7366</c:v>
                </c:pt>
                <c:pt idx="69">
                  <c:v>7472</c:v>
                </c:pt>
                <c:pt idx="70">
                  <c:v>7578</c:v>
                </c:pt>
                <c:pt idx="71">
                  <c:v>7684</c:v>
                </c:pt>
                <c:pt idx="72">
                  <c:v>7790</c:v>
                </c:pt>
                <c:pt idx="73">
                  <c:v>7896</c:v>
                </c:pt>
                <c:pt idx="74">
                  <c:v>8002</c:v>
                </c:pt>
                <c:pt idx="75">
                  <c:v>8108</c:v>
                </c:pt>
                <c:pt idx="76">
                  <c:v>8214</c:v>
                </c:pt>
                <c:pt idx="77">
                  <c:v>8320</c:v>
                </c:pt>
                <c:pt idx="78">
                  <c:v>8426</c:v>
                </c:pt>
                <c:pt idx="79">
                  <c:v>8532</c:v>
                </c:pt>
                <c:pt idx="80">
                  <c:v>8638</c:v>
                </c:pt>
                <c:pt idx="81">
                  <c:v>8744</c:v>
                </c:pt>
                <c:pt idx="82">
                  <c:v>8850</c:v>
                </c:pt>
                <c:pt idx="83">
                  <c:v>8956</c:v>
                </c:pt>
                <c:pt idx="84">
                  <c:v>9062</c:v>
                </c:pt>
                <c:pt idx="85">
                  <c:v>9168</c:v>
                </c:pt>
                <c:pt idx="86">
                  <c:v>9274</c:v>
                </c:pt>
                <c:pt idx="87">
                  <c:v>9380</c:v>
                </c:pt>
                <c:pt idx="88">
                  <c:v>9486</c:v>
                </c:pt>
                <c:pt idx="89">
                  <c:v>9592</c:v>
                </c:pt>
                <c:pt idx="90">
                  <c:v>9698</c:v>
                </c:pt>
                <c:pt idx="91">
                  <c:v>9804</c:v>
                </c:pt>
                <c:pt idx="92">
                  <c:v>9910</c:v>
                </c:pt>
                <c:pt idx="93">
                  <c:v>10016</c:v>
                </c:pt>
                <c:pt idx="94">
                  <c:v>10122</c:v>
                </c:pt>
                <c:pt idx="95">
                  <c:v>10228</c:v>
                </c:pt>
                <c:pt idx="96">
                  <c:v>10334</c:v>
                </c:pt>
                <c:pt idx="97">
                  <c:v>10440</c:v>
                </c:pt>
                <c:pt idx="98">
                  <c:v>10546</c:v>
                </c:pt>
                <c:pt idx="99">
                  <c:v>10652</c:v>
                </c:pt>
                <c:pt idx="100">
                  <c:v>10758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65504912"/>
        <c:axId val="-1465504368"/>
      </c:lineChart>
      <c:catAx>
        <c:axId val="-146550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Level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465504368"/>
        <c:crosses val="autoZero"/>
        <c:auto val="1"/>
        <c:lblAlgn val="ctr"/>
        <c:lblOffset val="100"/>
        <c:noMultiLvlLbl val="0"/>
      </c:catAx>
      <c:valAx>
        <c:axId val="-14655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Damage over 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46550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XP to next lvl</a:t>
            </a:r>
            <a:r>
              <a:rPr lang="pl-PL"/>
              <a:t> [1-100]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Doświadczenie!$B$1</c:f>
              <c:strCache>
                <c:ptCount val="1"/>
                <c:pt idx="0">
                  <c:v>XP to next lvl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cat>
            <c:numRef>
              <c:f>Doświadczenie!$A$2:$A$112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cat>
          <c:val>
            <c:numRef>
              <c:f>Doświadczenie!$B$2:$B$112</c:f>
              <c:numCache>
                <c:formatCode>General</c:formatCode>
                <c:ptCount val="111"/>
                <c:pt idx="0">
                  <c:v>83</c:v>
                </c:pt>
                <c:pt idx="1">
                  <c:v>91</c:v>
                </c:pt>
                <c:pt idx="2">
                  <c:v>101</c:v>
                </c:pt>
                <c:pt idx="3">
                  <c:v>112</c:v>
                </c:pt>
                <c:pt idx="4">
                  <c:v>124</c:v>
                </c:pt>
                <c:pt idx="5">
                  <c:v>137</c:v>
                </c:pt>
                <c:pt idx="6">
                  <c:v>151</c:v>
                </c:pt>
                <c:pt idx="7">
                  <c:v>167</c:v>
                </c:pt>
                <c:pt idx="8">
                  <c:v>185</c:v>
                </c:pt>
                <c:pt idx="9">
                  <c:v>204</c:v>
                </c:pt>
                <c:pt idx="10">
                  <c:v>225</c:v>
                </c:pt>
                <c:pt idx="11">
                  <c:v>249</c:v>
                </c:pt>
                <c:pt idx="12">
                  <c:v>274</c:v>
                </c:pt>
                <c:pt idx="13">
                  <c:v>303</c:v>
                </c:pt>
                <c:pt idx="14">
                  <c:v>334</c:v>
                </c:pt>
                <c:pt idx="15">
                  <c:v>369</c:v>
                </c:pt>
                <c:pt idx="16">
                  <c:v>408</c:v>
                </c:pt>
                <c:pt idx="17">
                  <c:v>450</c:v>
                </c:pt>
                <c:pt idx="18">
                  <c:v>496</c:v>
                </c:pt>
                <c:pt idx="19">
                  <c:v>548</c:v>
                </c:pt>
                <c:pt idx="20">
                  <c:v>605</c:v>
                </c:pt>
                <c:pt idx="21">
                  <c:v>667</c:v>
                </c:pt>
                <c:pt idx="22">
                  <c:v>737</c:v>
                </c:pt>
                <c:pt idx="23">
                  <c:v>813</c:v>
                </c:pt>
                <c:pt idx="24">
                  <c:v>897</c:v>
                </c:pt>
                <c:pt idx="25">
                  <c:v>990</c:v>
                </c:pt>
                <c:pt idx="26">
                  <c:v>1093</c:v>
                </c:pt>
                <c:pt idx="27">
                  <c:v>1207</c:v>
                </c:pt>
                <c:pt idx="28">
                  <c:v>1332</c:v>
                </c:pt>
                <c:pt idx="29">
                  <c:v>1470</c:v>
                </c:pt>
                <c:pt idx="30">
                  <c:v>1622</c:v>
                </c:pt>
                <c:pt idx="31">
                  <c:v>1791</c:v>
                </c:pt>
                <c:pt idx="32">
                  <c:v>1977</c:v>
                </c:pt>
                <c:pt idx="33">
                  <c:v>2182</c:v>
                </c:pt>
                <c:pt idx="34">
                  <c:v>2408</c:v>
                </c:pt>
                <c:pt idx="35">
                  <c:v>2658</c:v>
                </c:pt>
                <c:pt idx="36">
                  <c:v>2934</c:v>
                </c:pt>
                <c:pt idx="37">
                  <c:v>3239</c:v>
                </c:pt>
                <c:pt idx="38">
                  <c:v>3576</c:v>
                </c:pt>
                <c:pt idx="39">
                  <c:v>3947</c:v>
                </c:pt>
                <c:pt idx="40">
                  <c:v>4357</c:v>
                </c:pt>
                <c:pt idx="41">
                  <c:v>4810</c:v>
                </c:pt>
                <c:pt idx="42">
                  <c:v>5310</c:v>
                </c:pt>
                <c:pt idx="43">
                  <c:v>5862</c:v>
                </c:pt>
                <c:pt idx="44">
                  <c:v>6471</c:v>
                </c:pt>
                <c:pt idx="45">
                  <c:v>7144</c:v>
                </c:pt>
                <c:pt idx="46">
                  <c:v>7886</c:v>
                </c:pt>
                <c:pt idx="47">
                  <c:v>8706</c:v>
                </c:pt>
                <c:pt idx="48">
                  <c:v>9612</c:v>
                </c:pt>
                <c:pt idx="49">
                  <c:v>10611</c:v>
                </c:pt>
                <c:pt idx="50">
                  <c:v>11715</c:v>
                </c:pt>
                <c:pt idx="51">
                  <c:v>12933</c:v>
                </c:pt>
                <c:pt idx="52">
                  <c:v>14278</c:v>
                </c:pt>
                <c:pt idx="53">
                  <c:v>15763</c:v>
                </c:pt>
                <c:pt idx="54">
                  <c:v>17403</c:v>
                </c:pt>
                <c:pt idx="55">
                  <c:v>19214</c:v>
                </c:pt>
                <c:pt idx="56">
                  <c:v>21212</c:v>
                </c:pt>
                <c:pt idx="57">
                  <c:v>23419</c:v>
                </c:pt>
                <c:pt idx="58">
                  <c:v>25856</c:v>
                </c:pt>
                <c:pt idx="59">
                  <c:v>28546</c:v>
                </c:pt>
                <c:pt idx="60">
                  <c:v>31516</c:v>
                </c:pt>
                <c:pt idx="61">
                  <c:v>34795</c:v>
                </c:pt>
                <c:pt idx="62">
                  <c:v>38415</c:v>
                </c:pt>
                <c:pt idx="63">
                  <c:v>42413</c:v>
                </c:pt>
                <c:pt idx="64">
                  <c:v>46826</c:v>
                </c:pt>
                <c:pt idx="65">
                  <c:v>51699</c:v>
                </c:pt>
                <c:pt idx="66">
                  <c:v>57078</c:v>
                </c:pt>
                <c:pt idx="67">
                  <c:v>63018</c:v>
                </c:pt>
                <c:pt idx="68">
                  <c:v>69576</c:v>
                </c:pt>
                <c:pt idx="69">
                  <c:v>76817</c:v>
                </c:pt>
                <c:pt idx="70">
                  <c:v>84811</c:v>
                </c:pt>
                <c:pt idx="71">
                  <c:v>93638</c:v>
                </c:pt>
                <c:pt idx="72">
                  <c:v>103383</c:v>
                </c:pt>
                <c:pt idx="73">
                  <c:v>114142</c:v>
                </c:pt>
                <c:pt idx="74">
                  <c:v>126022</c:v>
                </c:pt>
                <c:pt idx="75">
                  <c:v>139138</c:v>
                </c:pt>
                <c:pt idx="76">
                  <c:v>153619</c:v>
                </c:pt>
                <c:pt idx="77">
                  <c:v>169607</c:v>
                </c:pt>
                <c:pt idx="78">
                  <c:v>187260</c:v>
                </c:pt>
                <c:pt idx="79">
                  <c:v>206750</c:v>
                </c:pt>
                <c:pt idx="80">
                  <c:v>228268</c:v>
                </c:pt>
                <c:pt idx="81">
                  <c:v>252027</c:v>
                </c:pt>
                <c:pt idx="82">
                  <c:v>278259</c:v>
                </c:pt>
                <c:pt idx="83">
                  <c:v>307221</c:v>
                </c:pt>
                <c:pt idx="84">
                  <c:v>339197</c:v>
                </c:pt>
                <c:pt idx="85">
                  <c:v>374502</c:v>
                </c:pt>
                <c:pt idx="86">
                  <c:v>413482</c:v>
                </c:pt>
                <c:pt idx="87">
                  <c:v>456519</c:v>
                </c:pt>
                <c:pt idx="88">
                  <c:v>504036</c:v>
                </c:pt>
                <c:pt idx="89">
                  <c:v>556499</c:v>
                </c:pt>
                <c:pt idx="90">
                  <c:v>614422</c:v>
                </c:pt>
                <c:pt idx="91">
                  <c:v>678375</c:v>
                </c:pt>
                <c:pt idx="92">
                  <c:v>748985</c:v>
                </c:pt>
                <c:pt idx="93">
                  <c:v>826944</c:v>
                </c:pt>
                <c:pt idx="94">
                  <c:v>913018</c:v>
                </c:pt>
                <c:pt idx="95">
                  <c:v>1008052</c:v>
                </c:pt>
                <c:pt idx="96">
                  <c:v>1112977</c:v>
                </c:pt>
                <c:pt idx="97">
                  <c:v>1228824</c:v>
                </c:pt>
                <c:pt idx="98">
                  <c:v>1356729</c:v>
                </c:pt>
                <c:pt idx="99">
                  <c:v>1497948</c:v>
                </c:pt>
                <c:pt idx="100">
                  <c:v>1653867</c:v>
                </c:pt>
                <c:pt idx="101">
                  <c:v>1826015</c:v>
                </c:pt>
                <c:pt idx="102">
                  <c:v>2016081</c:v>
                </c:pt>
                <c:pt idx="103">
                  <c:v>2225932</c:v>
                </c:pt>
                <c:pt idx="104">
                  <c:v>2457626</c:v>
                </c:pt>
                <c:pt idx="105">
                  <c:v>2713436</c:v>
                </c:pt>
                <c:pt idx="106">
                  <c:v>2995874</c:v>
                </c:pt>
                <c:pt idx="107">
                  <c:v>3307711</c:v>
                </c:pt>
                <c:pt idx="108">
                  <c:v>3652006</c:v>
                </c:pt>
                <c:pt idx="109">
                  <c:v>4032139</c:v>
                </c:pt>
                <c:pt idx="110">
                  <c:v>4451840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60823504"/>
        <c:axId val="-1460822960"/>
      </c:lineChart>
      <c:catAx>
        <c:axId val="-146082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Level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460822960"/>
        <c:crosses val="autoZero"/>
        <c:auto val="1"/>
        <c:lblAlgn val="ctr"/>
        <c:lblOffset val="100"/>
        <c:noMultiLvlLbl val="0"/>
      </c:catAx>
      <c:valAx>
        <c:axId val="-146082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XP to next level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46082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XP to next lvl</a:t>
            </a:r>
            <a:r>
              <a:rPr lang="pl-PL"/>
              <a:t> [1-50]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Doświadczenie!$B$1</c:f>
              <c:strCache>
                <c:ptCount val="1"/>
                <c:pt idx="0">
                  <c:v>XP to next lvl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none"/>
              <a:tailEnd type="none"/>
            </a:ln>
            <a:effectLst/>
          </c:spPr>
          <c:marker>
            <c:symbol val="none"/>
          </c:marker>
          <c:dLbls>
            <c:dLbl>
              <c:idx val="1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Doświadczenie!$A$2:$A$52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Doświadczenie!$B$2:$B$52</c:f>
              <c:numCache>
                <c:formatCode>General</c:formatCode>
                <c:ptCount val="51"/>
                <c:pt idx="0">
                  <c:v>83</c:v>
                </c:pt>
                <c:pt idx="1">
                  <c:v>91</c:v>
                </c:pt>
                <c:pt idx="2">
                  <c:v>101</c:v>
                </c:pt>
                <c:pt idx="3">
                  <c:v>112</c:v>
                </c:pt>
                <c:pt idx="4">
                  <c:v>124</c:v>
                </c:pt>
                <c:pt idx="5">
                  <c:v>137</c:v>
                </c:pt>
                <c:pt idx="6">
                  <c:v>151</c:v>
                </c:pt>
                <c:pt idx="7">
                  <c:v>167</c:v>
                </c:pt>
                <c:pt idx="8">
                  <c:v>185</c:v>
                </c:pt>
                <c:pt idx="9">
                  <c:v>204</c:v>
                </c:pt>
                <c:pt idx="10">
                  <c:v>225</c:v>
                </c:pt>
                <c:pt idx="11">
                  <c:v>249</c:v>
                </c:pt>
                <c:pt idx="12">
                  <c:v>274</c:v>
                </c:pt>
                <c:pt idx="13">
                  <c:v>303</c:v>
                </c:pt>
                <c:pt idx="14">
                  <c:v>334</c:v>
                </c:pt>
                <c:pt idx="15">
                  <c:v>369</c:v>
                </c:pt>
                <c:pt idx="16">
                  <c:v>408</c:v>
                </c:pt>
                <c:pt idx="17">
                  <c:v>450</c:v>
                </c:pt>
                <c:pt idx="18">
                  <c:v>496</c:v>
                </c:pt>
                <c:pt idx="19">
                  <c:v>548</c:v>
                </c:pt>
                <c:pt idx="20">
                  <c:v>605</c:v>
                </c:pt>
                <c:pt idx="21">
                  <c:v>667</c:v>
                </c:pt>
                <c:pt idx="22">
                  <c:v>737</c:v>
                </c:pt>
                <c:pt idx="23">
                  <c:v>813</c:v>
                </c:pt>
                <c:pt idx="24">
                  <c:v>897</c:v>
                </c:pt>
                <c:pt idx="25">
                  <c:v>990</c:v>
                </c:pt>
                <c:pt idx="26">
                  <c:v>1093</c:v>
                </c:pt>
                <c:pt idx="27">
                  <c:v>1207</c:v>
                </c:pt>
                <c:pt idx="28">
                  <c:v>1332</c:v>
                </c:pt>
                <c:pt idx="29">
                  <c:v>1470</c:v>
                </c:pt>
                <c:pt idx="30">
                  <c:v>1622</c:v>
                </c:pt>
                <c:pt idx="31">
                  <c:v>1791</c:v>
                </c:pt>
                <c:pt idx="32">
                  <c:v>1977</c:v>
                </c:pt>
                <c:pt idx="33">
                  <c:v>2182</c:v>
                </c:pt>
                <c:pt idx="34">
                  <c:v>2408</c:v>
                </c:pt>
                <c:pt idx="35">
                  <c:v>2658</c:v>
                </c:pt>
                <c:pt idx="36">
                  <c:v>2934</c:v>
                </c:pt>
                <c:pt idx="37">
                  <c:v>3239</c:v>
                </c:pt>
                <c:pt idx="38">
                  <c:v>3576</c:v>
                </c:pt>
                <c:pt idx="39">
                  <c:v>3947</c:v>
                </c:pt>
                <c:pt idx="40">
                  <c:v>4357</c:v>
                </c:pt>
                <c:pt idx="41">
                  <c:v>4810</c:v>
                </c:pt>
                <c:pt idx="42">
                  <c:v>5310</c:v>
                </c:pt>
                <c:pt idx="43">
                  <c:v>5862</c:v>
                </c:pt>
                <c:pt idx="44">
                  <c:v>6471</c:v>
                </c:pt>
                <c:pt idx="45">
                  <c:v>7144</c:v>
                </c:pt>
                <c:pt idx="46">
                  <c:v>7886</c:v>
                </c:pt>
                <c:pt idx="47">
                  <c:v>8706</c:v>
                </c:pt>
                <c:pt idx="48">
                  <c:v>9612</c:v>
                </c:pt>
                <c:pt idx="49">
                  <c:v>10611</c:v>
                </c:pt>
                <c:pt idx="50">
                  <c:v>11715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89951408"/>
        <c:axId val="-1389974800"/>
      </c:lineChart>
      <c:catAx>
        <c:axId val="-138995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Level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389974800"/>
        <c:crosses val="autoZero"/>
        <c:auto val="1"/>
        <c:lblAlgn val="ctr"/>
        <c:lblOffset val="100"/>
        <c:noMultiLvlLbl val="0"/>
      </c:catAx>
      <c:valAx>
        <c:axId val="-138997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XP to next level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3899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8</xdr:row>
      <xdr:rowOff>166686</xdr:rowOff>
    </xdr:from>
    <xdr:to>
      <xdr:col>20</xdr:col>
      <xdr:colOff>1519240</xdr:colOff>
      <xdr:row>34</xdr:row>
      <xdr:rowOff>57150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361949</xdr:colOff>
      <xdr:row>21</xdr:row>
      <xdr:rowOff>109536</xdr:rowOff>
    </xdr:from>
    <xdr:to>
      <xdr:col>25</xdr:col>
      <xdr:colOff>238124</xdr:colOff>
      <xdr:row>46</xdr:row>
      <xdr:rowOff>27621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438150</xdr:colOff>
      <xdr:row>0</xdr:row>
      <xdr:rowOff>47625</xdr:rowOff>
    </xdr:from>
    <xdr:to>
      <xdr:col>24</xdr:col>
      <xdr:colOff>320675</xdr:colOff>
      <xdr:row>21</xdr:row>
      <xdr:rowOff>0</xdr:rowOff>
    </xdr:to>
    <xdr:graphicFrame macro="">
      <xdr:nvGraphicFramePr>
        <xdr:cNvPr id="9" name="Wykres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114300</xdr:colOff>
      <xdr:row>0</xdr:row>
      <xdr:rowOff>90487</xdr:rowOff>
    </xdr:from>
    <xdr:ext cx="1940210" cy="45653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pole tekstowe 9"/>
            <xdr:cNvSpPr txBox="1"/>
          </xdr:nvSpPr>
          <xdr:spPr>
            <a:xfrm>
              <a:off x="4648200" y="90487"/>
              <a:ext cx="1940210" cy="4565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l-PL" sz="12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pl-PL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l-PL" sz="12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pl-PL" sz="12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⌊"/>
                        <m:endChr m:val="⌋"/>
                        <m:ctrlPr>
                          <a:rPr lang="pl-PL" sz="12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l-PL" sz="12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d>
                              <m:dPr>
                                <m:begChr m:val="⌊"/>
                                <m:endChr m:val="⌋"/>
                                <m:ctrlP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</m:t>
                                </m:r>
                                <m:r>
                                  <a:rPr lang="pl-PL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∗</m:t>
                                </m:r>
                                <m:sSup>
                                  <m:sSupPr>
                                    <m:ctrlPr>
                                      <a:rPr lang="pl-PL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pl-PL" sz="12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e>
                                  <m:sup>
                                    <m:f>
                                      <m:fPr>
                                        <m:ctrlPr>
                                          <a:rPr lang="pl-PL" sz="12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pl-PL" sz="12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  <m:r>
                                          <a:rPr lang="pl-PL" sz="12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+mn-lt"/>
                                            <a:ea typeface="+mn-ea"/>
                                            <a:cs typeface="+mn-cs"/>
                                          </a:rPr>
                                          <m:t>+</m:t>
                                        </m:r>
                                        <m:r>
                                          <a:rPr lang="pl-PL" sz="12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𝐴</m:t>
                                        </m:r>
                                      </m:num>
                                      <m:den>
                                        <m:r>
                                          <a:rPr lang="pl-PL" sz="12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𝐶</m:t>
                                        </m:r>
                                      </m:den>
                                    </m:f>
                                  </m:sup>
                                </m:sSup>
                              </m:e>
                            </m:d>
                          </m:num>
                          <m:den>
                            <m:r>
                              <a:rPr lang="pl-PL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den>
                        </m:f>
                        <m:r>
                          <a:rPr lang="pl-PL" sz="1200" b="0" i="1">
                            <a:solidFill>
                              <a:schemeClr val="tx1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</m:e>
                    </m:d>
                    <m:r>
                      <a:rPr lang="pl-PL" sz="12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pl-PL" sz="1200"/>
            </a:p>
          </xdr:txBody>
        </xdr:sp>
      </mc:Choice>
      <mc:Fallback>
        <xdr:sp macro="" textlink="">
          <xdr:nvSpPr>
            <xdr:cNvPr id="10" name="pole tekstowe 9"/>
            <xdr:cNvSpPr txBox="1"/>
          </xdr:nvSpPr>
          <xdr:spPr>
            <a:xfrm>
              <a:off x="4648200" y="90487"/>
              <a:ext cx="1940210" cy="4565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200" b="0" i="0">
                  <a:latin typeface="Cambria Math" panose="02040503050406030204" pitchFamily="18" charset="0"/>
                </a:rPr>
                <a:t>𝑓(𝑥)=⌊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⌊𝑥+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𝐵∗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2^((𝑥+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⌋/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r>
                <a:rPr lang="pl-PL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⌋ </a:t>
              </a:r>
              <a:r>
                <a:rPr lang="pl-PL" sz="1200" b="0" i="0">
                  <a:latin typeface="Cambria Math" panose="02040503050406030204" pitchFamily="18" charset="0"/>
                </a:rPr>
                <a:t> </a:t>
              </a:r>
              <a:endParaRPr lang="pl-PL" sz="1200"/>
            </a:p>
          </xdr:txBody>
        </xdr:sp>
      </mc:Fallback>
    </mc:AlternateContent>
    <xdr:clientData/>
  </xdr:oneCellAnchor>
  <xdr:twoCellAnchor>
    <xdr:from>
      <xdr:col>8</xdr:col>
      <xdr:colOff>504825</xdr:colOff>
      <xdr:row>6</xdr:row>
      <xdr:rowOff>0</xdr:rowOff>
    </xdr:from>
    <xdr:to>
      <xdr:col>11</xdr:col>
      <xdr:colOff>104775</xdr:colOff>
      <xdr:row>9</xdr:row>
      <xdr:rowOff>9525</xdr:rowOff>
    </xdr:to>
    <xdr:sp macro="[0]!Prostokąt10_Kliknięcie" textlink="">
      <xdr:nvSpPr>
        <xdr:cNvPr id="11" name="Prostokąt 10"/>
        <xdr:cNvSpPr/>
      </xdr:nvSpPr>
      <xdr:spPr>
        <a:xfrm>
          <a:off x="6257925" y="1143000"/>
          <a:ext cx="1428750" cy="58102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500" b="1"/>
            <a:t>Reset</a:t>
          </a:r>
          <a:r>
            <a:rPr lang="pl-PL" sz="1500" b="1" baseline="0"/>
            <a:t> to defaults</a:t>
          </a:r>
          <a:endParaRPr lang="pl-PL" sz="1500" b="1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V103"/>
  <sheetViews>
    <sheetView tabSelected="1" workbookViewId="0">
      <selection activeCell="H11" sqref="H11"/>
    </sheetView>
  </sheetViews>
  <sheetFormatPr defaultRowHeight="15" x14ac:dyDescent="0.25"/>
  <cols>
    <col min="1" max="2" width="9.140625" style="2"/>
    <col min="3" max="3" width="15" style="2" customWidth="1"/>
    <col min="4" max="5" width="12.5703125" style="2" customWidth="1"/>
    <col min="6" max="6" width="13.140625" style="2" customWidth="1"/>
    <col min="7" max="7" width="13.42578125" style="2" customWidth="1"/>
    <col min="15" max="15" width="22" customWidth="1"/>
    <col min="18" max="18" width="20.5703125" customWidth="1"/>
    <col min="21" max="21" width="24.85546875" customWidth="1"/>
  </cols>
  <sheetData>
    <row r="1" spans="1:22" x14ac:dyDescent="0.25">
      <c r="C1" s="11" t="s">
        <v>0</v>
      </c>
      <c r="D1" s="11"/>
      <c r="F1" s="11" t="s">
        <v>1</v>
      </c>
      <c r="G1" s="11"/>
      <c r="O1" s="15" t="s">
        <v>23</v>
      </c>
      <c r="P1" s="15"/>
      <c r="R1" s="14" t="s">
        <v>24</v>
      </c>
      <c r="S1" s="14"/>
      <c r="U1" s="13" t="s">
        <v>25</v>
      </c>
      <c r="V1" s="13"/>
    </row>
    <row r="2" spans="1:22" x14ac:dyDescent="0.25">
      <c r="A2" s="3" t="s">
        <v>3</v>
      </c>
      <c r="B2" s="10"/>
      <c r="C2" s="4" t="s">
        <v>22</v>
      </c>
      <c r="D2" s="3" t="s">
        <v>4</v>
      </c>
      <c r="E2" s="10"/>
      <c r="F2" s="4" t="s">
        <v>21</v>
      </c>
      <c r="G2" s="3" t="s">
        <v>5</v>
      </c>
      <c r="O2" t="s">
        <v>7</v>
      </c>
      <c r="P2" s="2">
        <v>2</v>
      </c>
      <c r="R2" t="s">
        <v>30</v>
      </c>
      <c r="S2" s="12">
        <v>0.25</v>
      </c>
      <c r="U2" t="s">
        <v>29</v>
      </c>
      <c r="V2" s="2">
        <v>1</v>
      </c>
    </row>
    <row r="3" spans="1:22" x14ac:dyDescent="0.25">
      <c r="A3" s="2">
        <v>0</v>
      </c>
      <c r="C3" s="2">
        <f>ROUNDUP(($S$2+A3*$S$4)*$P$6,0)</f>
        <v>18</v>
      </c>
      <c r="D3" s="2">
        <f>C3*($P$2+A3*$P$3)*2+($P$6-C3)*($P$2+A3*$P$3)</f>
        <v>176</v>
      </c>
      <c r="F3" s="2">
        <f>$V$4*($V$2+A3*$V$3)</f>
        <v>18</v>
      </c>
      <c r="G3" s="2">
        <f>$P$6*($P$2+A3*$P$3)+F3</f>
        <v>158</v>
      </c>
      <c r="O3" t="s">
        <v>2</v>
      </c>
      <c r="P3" s="2">
        <v>1</v>
      </c>
      <c r="R3" t="s">
        <v>31</v>
      </c>
      <c r="S3" s="2">
        <v>0.65</v>
      </c>
      <c r="U3" t="s">
        <v>9</v>
      </c>
      <c r="V3" s="2">
        <v>2</v>
      </c>
    </row>
    <row r="4" spans="1:22" x14ac:dyDescent="0.25">
      <c r="A4" s="2">
        <v>1</v>
      </c>
      <c r="C4" s="2">
        <f>ROUNDUP(($S$2+A4*$S$4)*$P$6,0)</f>
        <v>18</v>
      </c>
      <c r="D4" s="2">
        <f t="shared" ref="D4:D67" si="0">C4*($P$2+A4*$P$3)*2+($P$6-C4)*($P$2+A4*$P$3)</f>
        <v>264</v>
      </c>
      <c r="F4" s="2">
        <f>$V$4*($V$2+A4*$V$3)</f>
        <v>54</v>
      </c>
      <c r="G4" s="2">
        <f t="shared" ref="G4:G67" si="1">$P$6*($P$2+A4*$P$3)+F4</f>
        <v>264</v>
      </c>
      <c r="O4" t="s">
        <v>27</v>
      </c>
      <c r="P4" s="2">
        <v>7</v>
      </c>
      <c r="R4" t="s">
        <v>8</v>
      </c>
      <c r="S4" s="12">
        <f>(S3-S2)/100</f>
        <v>4.0000000000000001E-3</v>
      </c>
      <c r="U4" t="s">
        <v>28</v>
      </c>
      <c r="V4" s="8">
        <f>(P5-1)*2</f>
        <v>18</v>
      </c>
    </row>
    <row r="5" spans="1:22" x14ac:dyDescent="0.25">
      <c r="A5" s="2">
        <v>2</v>
      </c>
      <c r="C5" s="2">
        <f>ROUNDUP(($S$2+A5*$S$4)*$P$6,0)</f>
        <v>19</v>
      </c>
      <c r="D5" s="2">
        <f t="shared" si="0"/>
        <v>356</v>
      </c>
      <c r="F5" s="2">
        <f>$V$4*($V$2+A5*$V$3)</f>
        <v>90</v>
      </c>
      <c r="G5" s="2">
        <f t="shared" si="1"/>
        <v>370</v>
      </c>
      <c r="O5" t="s">
        <v>26</v>
      </c>
      <c r="P5" s="2">
        <v>10</v>
      </c>
    </row>
    <row r="6" spans="1:22" x14ac:dyDescent="0.25">
      <c r="A6" s="2">
        <v>3</v>
      </c>
      <c r="C6" s="2">
        <f>ROUNDUP(($S$2+A6*$S$4)*$P$6,0)</f>
        <v>19</v>
      </c>
      <c r="D6" s="2">
        <f t="shared" si="0"/>
        <v>445</v>
      </c>
      <c r="F6" s="2">
        <f>$V$4*($V$2+A6*$V$3)</f>
        <v>126</v>
      </c>
      <c r="G6" s="2">
        <f t="shared" si="1"/>
        <v>476</v>
      </c>
      <c r="O6" t="s">
        <v>6</v>
      </c>
      <c r="P6" s="8">
        <f>P5*P4</f>
        <v>70</v>
      </c>
    </row>
    <row r="7" spans="1:22" x14ac:dyDescent="0.25">
      <c r="A7" s="2">
        <v>4</v>
      </c>
      <c r="C7" s="2">
        <f>ROUNDUP(($S$2+A7*$S$4)*$P$6,0)</f>
        <v>19</v>
      </c>
      <c r="D7" s="2">
        <f t="shared" si="0"/>
        <v>534</v>
      </c>
      <c r="F7" s="2">
        <f>$V$4*($V$2+A7*$V$3)</f>
        <v>162</v>
      </c>
      <c r="G7" s="2">
        <f t="shared" si="1"/>
        <v>582</v>
      </c>
    </row>
    <row r="8" spans="1:22" x14ac:dyDescent="0.25">
      <c r="A8" s="2">
        <v>5</v>
      </c>
      <c r="C8" s="2">
        <f>ROUNDUP(($S$2+A8*$S$4)*$P$6,0)</f>
        <v>19</v>
      </c>
      <c r="D8" s="2">
        <f t="shared" si="0"/>
        <v>623</v>
      </c>
      <c r="F8" s="2">
        <f>$V$4*($V$2+A8*$V$3)</f>
        <v>198</v>
      </c>
      <c r="G8" s="2">
        <f t="shared" si="1"/>
        <v>688</v>
      </c>
    </row>
    <row r="9" spans="1:22" x14ac:dyDescent="0.25">
      <c r="A9" s="2">
        <v>6</v>
      </c>
      <c r="C9" s="2">
        <f>ROUNDUP(($S$2+A9*$S$4)*$P$6,0)</f>
        <v>20</v>
      </c>
      <c r="D9" s="2">
        <f t="shared" si="0"/>
        <v>720</v>
      </c>
      <c r="F9" s="2">
        <f>$V$4*($V$2+A9*$V$3)</f>
        <v>234</v>
      </c>
      <c r="G9" s="2">
        <f t="shared" si="1"/>
        <v>794</v>
      </c>
    </row>
    <row r="10" spans="1:22" x14ac:dyDescent="0.25">
      <c r="A10" s="2">
        <v>7</v>
      </c>
      <c r="C10" s="2">
        <f>ROUNDUP(($S$2+A10*$S$4)*$P$6,0)</f>
        <v>20</v>
      </c>
      <c r="D10" s="2">
        <f t="shared" si="0"/>
        <v>810</v>
      </c>
      <c r="F10" s="2">
        <f>$V$4*($V$2+A10*$V$3)</f>
        <v>270</v>
      </c>
      <c r="G10" s="2">
        <f t="shared" si="1"/>
        <v>900</v>
      </c>
    </row>
    <row r="11" spans="1:22" x14ac:dyDescent="0.25">
      <c r="A11" s="2">
        <v>8</v>
      </c>
      <c r="C11" s="2">
        <f>ROUNDUP(($S$2+A11*$S$4)*$P$6,0)</f>
        <v>20</v>
      </c>
      <c r="D11" s="2">
        <f t="shared" si="0"/>
        <v>900</v>
      </c>
      <c r="F11" s="2">
        <f>$V$4*($V$2+A11*$V$3)</f>
        <v>306</v>
      </c>
      <c r="G11" s="2">
        <f t="shared" si="1"/>
        <v>1006</v>
      </c>
    </row>
    <row r="12" spans="1:22" x14ac:dyDescent="0.25">
      <c r="A12" s="2">
        <v>9</v>
      </c>
      <c r="C12" s="2">
        <f>ROUNDUP(($S$2+A12*$S$4)*$P$6,0)</f>
        <v>21</v>
      </c>
      <c r="D12" s="2">
        <f t="shared" si="0"/>
        <v>1001</v>
      </c>
      <c r="F12" s="2">
        <f>$V$4*($V$2+A12*$V$3)</f>
        <v>342</v>
      </c>
      <c r="G12" s="2">
        <f t="shared" si="1"/>
        <v>1112</v>
      </c>
    </row>
    <row r="13" spans="1:22" x14ac:dyDescent="0.25">
      <c r="A13" s="2">
        <v>10</v>
      </c>
      <c r="C13" s="2">
        <f>ROUNDUP(($S$2+A13*$S$4)*$P$6,0)</f>
        <v>21</v>
      </c>
      <c r="D13" s="2">
        <f t="shared" si="0"/>
        <v>1092</v>
      </c>
      <c r="F13" s="2">
        <f>$V$4*($V$2+A13*$V$3)</f>
        <v>378</v>
      </c>
      <c r="G13" s="2">
        <f t="shared" si="1"/>
        <v>1218</v>
      </c>
    </row>
    <row r="14" spans="1:22" x14ac:dyDescent="0.25">
      <c r="A14" s="2">
        <v>11</v>
      </c>
      <c r="C14" s="2">
        <f>ROUNDUP(($S$2+A14*$S$4)*$P$6,0)</f>
        <v>21</v>
      </c>
      <c r="D14" s="2">
        <f t="shared" si="0"/>
        <v>1183</v>
      </c>
      <c r="F14" s="2">
        <f>$V$4*($V$2+A14*$V$3)</f>
        <v>414</v>
      </c>
      <c r="G14" s="2">
        <f t="shared" si="1"/>
        <v>1324</v>
      </c>
    </row>
    <row r="15" spans="1:22" x14ac:dyDescent="0.25">
      <c r="A15" s="2">
        <v>12</v>
      </c>
      <c r="C15" s="2">
        <f>ROUNDUP(($S$2+A15*$S$4)*$P$6,0)</f>
        <v>21</v>
      </c>
      <c r="D15" s="2">
        <f t="shared" si="0"/>
        <v>1274</v>
      </c>
      <c r="F15" s="2">
        <f>$V$4*($V$2+A15*$V$3)</f>
        <v>450</v>
      </c>
      <c r="G15" s="2">
        <f t="shared" si="1"/>
        <v>1430</v>
      </c>
    </row>
    <row r="16" spans="1:22" x14ac:dyDescent="0.25">
      <c r="A16" s="2">
        <v>13</v>
      </c>
      <c r="C16" s="2">
        <f>ROUNDUP(($S$2+A16*$S$4)*$P$6,0)</f>
        <v>22</v>
      </c>
      <c r="D16" s="2">
        <f t="shared" si="0"/>
        <v>1380</v>
      </c>
      <c r="F16" s="2">
        <f>$V$4*($V$2+A16*$V$3)</f>
        <v>486</v>
      </c>
      <c r="G16" s="2">
        <f t="shared" si="1"/>
        <v>1536</v>
      </c>
    </row>
    <row r="17" spans="1:7" x14ac:dyDescent="0.25">
      <c r="A17" s="2">
        <v>14</v>
      </c>
      <c r="C17" s="2">
        <f>ROUNDUP(($S$2+A17*$S$4)*$P$6,0)</f>
        <v>22</v>
      </c>
      <c r="D17" s="2">
        <f t="shared" si="0"/>
        <v>1472</v>
      </c>
      <c r="F17" s="2">
        <f>$V$4*($V$2+A17*$V$3)</f>
        <v>522</v>
      </c>
      <c r="G17" s="2">
        <f t="shared" si="1"/>
        <v>1642</v>
      </c>
    </row>
    <row r="18" spans="1:7" x14ac:dyDescent="0.25">
      <c r="A18" s="2">
        <v>15</v>
      </c>
      <c r="C18" s="2">
        <f>ROUNDUP(($S$2+A18*$S$4)*$P$6,0)</f>
        <v>22</v>
      </c>
      <c r="D18" s="2">
        <f t="shared" si="0"/>
        <v>1564</v>
      </c>
      <c r="F18" s="2">
        <f>$V$4*($V$2+A18*$V$3)</f>
        <v>558</v>
      </c>
      <c r="G18" s="2">
        <f t="shared" si="1"/>
        <v>1748</v>
      </c>
    </row>
    <row r="19" spans="1:7" x14ac:dyDescent="0.25">
      <c r="A19" s="2">
        <v>16</v>
      </c>
      <c r="C19" s="2">
        <f>ROUNDUP(($S$2+A19*$S$4)*$P$6,0)</f>
        <v>22</v>
      </c>
      <c r="D19" s="2">
        <f t="shared" si="0"/>
        <v>1656</v>
      </c>
      <c r="F19" s="2">
        <f>$V$4*($V$2+A19*$V$3)</f>
        <v>594</v>
      </c>
      <c r="G19" s="2">
        <f t="shared" si="1"/>
        <v>1854</v>
      </c>
    </row>
    <row r="20" spans="1:7" x14ac:dyDescent="0.25">
      <c r="A20" s="2">
        <v>17</v>
      </c>
      <c r="C20" s="2">
        <f>ROUNDUP(($S$2+A20*$S$4)*$P$6,0)</f>
        <v>23</v>
      </c>
      <c r="D20" s="2">
        <f t="shared" si="0"/>
        <v>1767</v>
      </c>
      <c r="F20" s="2">
        <f>$V$4*($V$2+A20*$V$3)</f>
        <v>630</v>
      </c>
      <c r="G20" s="2">
        <f t="shared" si="1"/>
        <v>1960</v>
      </c>
    </row>
    <row r="21" spans="1:7" x14ac:dyDescent="0.25">
      <c r="A21" s="2">
        <v>18</v>
      </c>
      <c r="C21" s="2">
        <f>ROUNDUP(($S$2+A21*$S$4)*$P$6,0)</f>
        <v>23</v>
      </c>
      <c r="D21" s="2">
        <f t="shared" si="0"/>
        <v>1860</v>
      </c>
      <c r="F21" s="2">
        <f>$V$4*($V$2+A21*$V$3)</f>
        <v>666</v>
      </c>
      <c r="G21" s="2">
        <f t="shared" si="1"/>
        <v>2066</v>
      </c>
    </row>
    <row r="22" spans="1:7" x14ac:dyDescent="0.25">
      <c r="A22" s="2">
        <v>19</v>
      </c>
      <c r="C22" s="2">
        <f>ROUNDUP(($S$2+A22*$S$4)*$P$6,0)</f>
        <v>23</v>
      </c>
      <c r="D22" s="2">
        <f t="shared" si="0"/>
        <v>1953</v>
      </c>
      <c r="F22" s="2">
        <f>$V$4*($V$2+A22*$V$3)</f>
        <v>702</v>
      </c>
      <c r="G22" s="2">
        <f t="shared" si="1"/>
        <v>2172</v>
      </c>
    </row>
    <row r="23" spans="1:7" x14ac:dyDescent="0.25">
      <c r="A23" s="2">
        <v>20</v>
      </c>
      <c r="C23" s="2">
        <f>ROUNDUP(($S$2+A23*$S$4)*$P$6,0)</f>
        <v>24</v>
      </c>
      <c r="D23" s="2">
        <f t="shared" si="0"/>
        <v>2068</v>
      </c>
      <c r="F23" s="2">
        <f>$V$4*($V$2+A23*$V$3)</f>
        <v>738</v>
      </c>
      <c r="G23" s="2">
        <f t="shared" si="1"/>
        <v>2278</v>
      </c>
    </row>
    <row r="24" spans="1:7" x14ac:dyDescent="0.25">
      <c r="A24" s="2">
        <v>21</v>
      </c>
      <c r="C24" s="2">
        <f>ROUNDUP(($S$2+A24*$S$4)*$P$6,0)</f>
        <v>24</v>
      </c>
      <c r="D24" s="2">
        <f t="shared" si="0"/>
        <v>2162</v>
      </c>
      <c r="F24" s="2">
        <f>$V$4*($V$2+A24*$V$3)</f>
        <v>774</v>
      </c>
      <c r="G24" s="2">
        <f t="shared" si="1"/>
        <v>2384</v>
      </c>
    </row>
    <row r="25" spans="1:7" x14ac:dyDescent="0.25">
      <c r="A25" s="2">
        <v>22</v>
      </c>
      <c r="C25" s="2">
        <f>ROUNDUP(($S$2+A25*$S$4)*$P$6,0)</f>
        <v>24</v>
      </c>
      <c r="D25" s="2">
        <f t="shared" si="0"/>
        <v>2256</v>
      </c>
      <c r="F25" s="2">
        <f>$V$4*($V$2+A25*$V$3)</f>
        <v>810</v>
      </c>
      <c r="G25" s="2">
        <f t="shared" si="1"/>
        <v>2490</v>
      </c>
    </row>
    <row r="26" spans="1:7" x14ac:dyDescent="0.25">
      <c r="A26" s="2">
        <v>23</v>
      </c>
      <c r="C26" s="2">
        <f>ROUNDUP(($S$2+A26*$S$4)*$P$6,0)</f>
        <v>24</v>
      </c>
      <c r="D26" s="2">
        <f t="shared" si="0"/>
        <v>2350</v>
      </c>
      <c r="F26" s="2">
        <f>$V$4*($V$2+A26*$V$3)</f>
        <v>846</v>
      </c>
      <c r="G26" s="2">
        <f t="shared" si="1"/>
        <v>2596</v>
      </c>
    </row>
    <row r="27" spans="1:7" x14ac:dyDescent="0.25">
      <c r="A27" s="2">
        <v>24</v>
      </c>
      <c r="C27" s="2">
        <f>ROUNDUP(($S$2+A27*$S$4)*$P$6,0)</f>
        <v>25</v>
      </c>
      <c r="D27" s="2">
        <f t="shared" si="0"/>
        <v>2470</v>
      </c>
      <c r="F27" s="2">
        <f>$V$4*($V$2+A27*$V$3)</f>
        <v>882</v>
      </c>
      <c r="G27" s="2">
        <f t="shared" si="1"/>
        <v>2702</v>
      </c>
    </row>
    <row r="28" spans="1:7" x14ac:dyDescent="0.25">
      <c r="A28" s="2">
        <v>25</v>
      </c>
      <c r="C28" s="2">
        <f>ROUNDUP(($S$2+A28*$S$4)*$P$6,0)</f>
        <v>25</v>
      </c>
      <c r="D28" s="2">
        <f t="shared" si="0"/>
        <v>2565</v>
      </c>
      <c r="F28" s="2">
        <f>$V$4*($V$2+A28*$V$3)</f>
        <v>918</v>
      </c>
      <c r="G28" s="2">
        <f t="shared" si="1"/>
        <v>2808</v>
      </c>
    </row>
    <row r="29" spans="1:7" x14ac:dyDescent="0.25">
      <c r="A29" s="2">
        <v>26</v>
      </c>
      <c r="C29" s="2">
        <f>ROUNDUP(($S$2+A29*$S$4)*$P$6,0)</f>
        <v>25</v>
      </c>
      <c r="D29" s="2">
        <f t="shared" si="0"/>
        <v>2660</v>
      </c>
      <c r="F29" s="2">
        <f>$V$4*($V$2+A29*$V$3)</f>
        <v>954</v>
      </c>
      <c r="G29" s="2">
        <f t="shared" si="1"/>
        <v>2914</v>
      </c>
    </row>
    <row r="30" spans="1:7" x14ac:dyDescent="0.25">
      <c r="A30" s="2">
        <v>27</v>
      </c>
      <c r="C30" s="2">
        <f>ROUNDUP(($S$2+A30*$S$4)*$P$6,0)</f>
        <v>26</v>
      </c>
      <c r="D30" s="2">
        <f t="shared" si="0"/>
        <v>2784</v>
      </c>
      <c r="F30" s="2">
        <f>$V$4*($V$2+A30*$V$3)</f>
        <v>990</v>
      </c>
      <c r="G30" s="2">
        <f t="shared" si="1"/>
        <v>3020</v>
      </c>
    </row>
    <row r="31" spans="1:7" x14ac:dyDescent="0.25">
      <c r="A31" s="2">
        <v>28</v>
      </c>
      <c r="C31" s="2">
        <f>ROUNDUP(($S$2+A31*$S$4)*$P$6,0)</f>
        <v>26</v>
      </c>
      <c r="D31" s="2">
        <f t="shared" si="0"/>
        <v>2880</v>
      </c>
      <c r="F31" s="2">
        <f>$V$4*($V$2+A31*$V$3)</f>
        <v>1026</v>
      </c>
      <c r="G31" s="2">
        <f t="shared" si="1"/>
        <v>3126</v>
      </c>
    </row>
    <row r="32" spans="1:7" x14ac:dyDescent="0.25">
      <c r="A32" s="2">
        <v>29</v>
      </c>
      <c r="C32" s="2">
        <f>ROUNDUP(($S$2+A32*$S$4)*$P$6,0)</f>
        <v>26</v>
      </c>
      <c r="D32" s="2">
        <f t="shared" si="0"/>
        <v>2976</v>
      </c>
      <c r="F32" s="2">
        <f>$V$4*($V$2+A32*$V$3)</f>
        <v>1062</v>
      </c>
      <c r="G32" s="2">
        <f t="shared" si="1"/>
        <v>3232</v>
      </c>
    </row>
    <row r="33" spans="1:7" x14ac:dyDescent="0.25">
      <c r="A33" s="2">
        <v>30</v>
      </c>
      <c r="C33" s="2">
        <f>ROUNDUP(($S$2+A33*$S$4)*$P$6,0)</f>
        <v>26</v>
      </c>
      <c r="D33" s="2">
        <f t="shared" si="0"/>
        <v>3072</v>
      </c>
      <c r="F33" s="2">
        <f>$V$4*($V$2+A33*$V$3)</f>
        <v>1098</v>
      </c>
      <c r="G33" s="2">
        <f t="shared" si="1"/>
        <v>3338</v>
      </c>
    </row>
    <row r="34" spans="1:7" x14ac:dyDescent="0.25">
      <c r="A34" s="2">
        <v>31</v>
      </c>
      <c r="C34" s="2">
        <f>ROUNDUP(($S$2+A34*$S$4)*$P$6,0)</f>
        <v>27</v>
      </c>
      <c r="D34" s="2">
        <f t="shared" si="0"/>
        <v>3201</v>
      </c>
      <c r="F34" s="2">
        <f>$V$4*($V$2+A34*$V$3)</f>
        <v>1134</v>
      </c>
      <c r="G34" s="2">
        <f t="shared" si="1"/>
        <v>3444</v>
      </c>
    </row>
    <row r="35" spans="1:7" x14ac:dyDescent="0.25">
      <c r="A35" s="2">
        <v>32</v>
      </c>
      <c r="C35" s="2">
        <f>ROUNDUP(($S$2+A35*$S$4)*$P$6,0)</f>
        <v>27</v>
      </c>
      <c r="D35" s="2">
        <f t="shared" si="0"/>
        <v>3298</v>
      </c>
      <c r="F35" s="2">
        <f>$V$4*($V$2+A35*$V$3)</f>
        <v>1170</v>
      </c>
      <c r="G35" s="2">
        <f t="shared" si="1"/>
        <v>3550</v>
      </c>
    </row>
    <row r="36" spans="1:7" x14ac:dyDescent="0.25">
      <c r="A36" s="2">
        <v>33</v>
      </c>
      <c r="C36" s="2">
        <f>ROUNDUP(($S$2+A36*$S$4)*$P$6,0)</f>
        <v>27</v>
      </c>
      <c r="D36" s="2">
        <f t="shared" si="0"/>
        <v>3395</v>
      </c>
      <c r="F36" s="2">
        <f>$V$4*($V$2+A36*$V$3)</f>
        <v>1206</v>
      </c>
      <c r="G36" s="2">
        <f t="shared" si="1"/>
        <v>3656</v>
      </c>
    </row>
    <row r="37" spans="1:7" x14ac:dyDescent="0.25">
      <c r="A37" s="2">
        <v>34</v>
      </c>
      <c r="C37" s="2">
        <f>ROUNDUP(($S$2+A37*$S$4)*$P$6,0)</f>
        <v>28</v>
      </c>
      <c r="D37" s="2">
        <f t="shared" si="0"/>
        <v>3528</v>
      </c>
      <c r="F37" s="2">
        <f>$V$4*($V$2+A37*$V$3)</f>
        <v>1242</v>
      </c>
      <c r="G37" s="2">
        <f t="shared" si="1"/>
        <v>3762</v>
      </c>
    </row>
    <row r="38" spans="1:7" x14ac:dyDescent="0.25">
      <c r="A38" s="2">
        <v>35</v>
      </c>
      <c r="C38" s="2">
        <f>ROUNDUP(($S$2+A38*$S$4)*$P$6,0)</f>
        <v>28</v>
      </c>
      <c r="D38" s="2">
        <f t="shared" si="0"/>
        <v>3626</v>
      </c>
      <c r="F38" s="2">
        <f>$V$4*($V$2+A38*$V$3)</f>
        <v>1278</v>
      </c>
      <c r="G38" s="2">
        <f t="shared" si="1"/>
        <v>3868</v>
      </c>
    </row>
    <row r="39" spans="1:7" x14ac:dyDescent="0.25">
      <c r="A39" s="2">
        <v>36</v>
      </c>
      <c r="C39" s="2">
        <f>ROUNDUP(($S$2+A39*$S$4)*$P$6,0)</f>
        <v>28</v>
      </c>
      <c r="D39" s="2">
        <f t="shared" si="0"/>
        <v>3724</v>
      </c>
      <c r="F39" s="2">
        <f>$V$4*($V$2+A39*$V$3)</f>
        <v>1314</v>
      </c>
      <c r="G39" s="2">
        <f t="shared" si="1"/>
        <v>3974</v>
      </c>
    </row>
    <row r="40" spans="1:7" x14ac:dyDescent="0.25">
      <c r="A40" s="2">
        <v>37</v>
      </c>
      <c r="C40" s="2">
        <f>ROUNDUP(($S$2+A40*$S$4)*$P$6,0)</f>
        <v>28</v>
      </c>
      <c r="D40" s="2">
        <f t="shared" si="0"/>
        <v>3822</v>
      </c>
      <c r="F40" s="2">
        <f>$V$4*($V$2+A40*$V$3)</f>
        <v>1350</v>
      </c>
      <c r="G40" s="2">
        <f t="shared" si="1"/>
        <v>4080</v>
      </c>
    </row>
    <row r="41" spans="1:7" x14ac:dyDescent="0.25">
      <c r="A41" s="2">
        <v>38</v>
      </c>
      <c r="C41" s="2">
        <f>ROUNDUP(($S$2+A41*$S$4)*$P$6,0)</f>
        <v>29</v>
      </c>
      <c r="D41" s="2">
        <f t="shared" si="0"/>
        <v>3960</v>
      </c>
      <c r="F41" s="2">
        <f>$V$4*($V$2+A41*$V$3)</f>
        <v>1386</v>
      </c>
      <c r="G41" s="2">
        <f t="shared" si="1"/>
        <v>4186</v>
      </c>
    </row>
    <row r="42" spans="1:7" x14ac:dyDescent="0.25">
      <c r="A42" s="2">
        <v>39</v>
      </c>
      <c r="C42" s="2">
        <f>ROUNDUP(($S$2+A42*$S$4)*$P$6,0)</f>
        <v>29</v>
      </c>
      <c r="D42" s="2">
        <f t="shared" si="0"/>
        <v>4059</v>
      </c>
      <c r="F42" s="2">
        <f>$V$4*($V$2+A42*$V$3)</f>
        <v>1422</v>
      </c>
      <c r="G42" s="2">
        <f t="shared" si="1"/>
        <v>4292</v>
      </c>
    </row>
    <row r="43" spans="1:7" x14ac:dyDescent="0.25">
      <c r="A43" s="2">
        <v>40</v>
      </c>
      <c r="C43" s="2">
        <f>ROUNDUP(($S$2+A43*$S$4)*$P$6,0)</f>
        <v>29</v>
      </c>
      <c r="D43" s="2">
        <f t="shared" si="0"/>
        <v>4158</v>
      </c>
      <c r="F43" s="2">
        <f>$V$4*($V$2+A43*$V$3)</f>
        <v>1458</v>
      </c>
      <c r="G43" s="2">
        <f t="shared" si="1"/>
        <v>4398</v>
      </c>
    </row>
    <row r="44" spans="1:7" x14ac:dyDescent="0.25">
      <c r="A44" s="2">
        <v>41</v>
      </c>
      <c r="C44" s="2">
        <f>ROUNDUP(($S$2+A44*$S$4)*$P$6,0)</f>
        <v>29</v>
      </c>
      <c r="D44" s="2">
        <f t="shared" si="0"/>
        <v>4257</v>
      </c>
      <c r="F44" s="2">
        <f>$V$4*($V$2+A44*$V$3)</f>
        <v>1494</v>
      </c>
      <c r="G44" s="2">
        <f t="shared" si="1"/>
        <v>4504</v>
      </c>
    </row>
    <row r="45" spans="1:7" x14ac:dyDescent="0.25">
      <c r="A45" s="2">
        <v>42</v>
      </c>
      <c r="C45" s="2">
        <f>ROUNDUP(($S$2+A45*$S$4)*$P$6,0)</f>
        <v>30</v>
      </c>
      <c r="D45" s="2">
        <f t="shared" si="0"/>
        <v>4400</v>
      </c>
      <c r="F45" s="2">
        <f>$V$4*($V$2+A45*$V$3)</f>
        <v>1530</v>
      </c>
      <c r="G45" s="2">
        <f t="shared" si="1"/>
        <v>4610</v>
      </c>
    </row>
    <row r="46" spans="1:7" x14ac:dyDescent="0.25">
      <c r="A46" s="2">
        <v>43</v>
      </c>
      <c r="C46" s="2">
        <f>ROUNDUP(($S$2+A46*$S$4)*$P$6,0)</f>
        <v>30</v>
      </c>
      <c r="D46" s="2">
        <f t="shared" si="0"/>
        <v>4500</v>
      </c>
      <c r="F46" s="2">
        <f>$V$4*($V$2+A46*$V$3)</f>
        <v>1566</v>
      </c>
      <c r="G46" s="2">
        <f t="shared" si="1"/>
        <v>4716</v>
      </c>
    </row>
    <row r="47" spans="1:7" x14ac:dyDescent="0.25">
      <c r="A47" s="2">
        <v>44</v>
      </c>
      <c r="C47" s="2">
        <f>ROUNDUP(($S$2+A47*$S$4)*$P$6,0)</f>
        <v>30</v>
      </c>
      <c r="D47" s="2">
        <f t="shared" si="0"/>
        <v>4600</v>
      </c>
      <c r="F47" s="2">
        <f>$V$4*($V$2+A47*$V$3)</f>
        <v>1602</v>
      </c>
      <c r="G47" s="2">
        <f t="shared" si="1"/>
        <v>4822</v>
      </c>
    </row>
    <row r="48" spans="1:7" x14ac:dyDescent="0.25">
      <c r="A48" s="2">
        <v>45</v>
      </c>
      <c r="C48" s="2">
        <f>ROUNDUP(($S$2+A48*$S$4)*$P$6,0)</f>
        <v>31</v>
      </c>
      <c r="D48" s="2">
        <f t="shared" si="0"/>
        <v>4747</v>
      </c>
      <c r="F48" s="2">
        <f>$V$4*($V$2+A48*$V$3)</f>
        <v>1638</v>
      </c>
      <c r="G48" s="2">
        <f t="shared" si="1"/>
        <v>4928</v>
      </c>
    </row>
    <row r="49" spans="1:7" x14ac:dyDescent="0.25">
      <c r="A49" s="2">
        <v>46</v>
      </c>
      <c r="C49" s="2">
        <f>ROUNDUP(($S$2+A49*$S$4)*$P$6,0)</f>
        <v>31</v>
      </c>
      <c r="D49" s="2">
        <f t="shared" si="0"/>
        <v>4848</v>
      </c>
      <c r="F49" s="2">
        <f>$V$4*($V$2+A49*$V$3)</f>
        <v>1674</v>
      </c>
      <c r="G49" s="2">
        <f t="shared" si="1"/>
        <v>5034</v>
      </c>
    </row>
    <row r="50" spans="1:7" x14ac:dyDescent="0.25">
      <c r="A50" s="2">
        <v>47</v>
      </c>
      <c r="C50" s="2">
        <f>ROUNDUP(($S$2+A50*$S$4)*$P$6,0)</f>
        <v>31</v>
      </c>
      <c r="D50" s="2">
        <f t="shared" si="0"/>
        <v>4949</v>
      </c>
      <c r="F50" s="2">
        <f>$V$4*($V$2+A50*$V$3)</f>
        <v>1710</v>
      </c>
      <c r="G50" s="2">
        <f t="shared" si="1"/>
        <v>5140</v>
      </c>
    </row>
    <row r="51" spans="1:7" x14ac:dyDescent="0.25">
      <c r="A51" s="2">
        <v>48</v>
      </c>
      <c r="C51" s="2">
        <f>ROUNDUP(($S$2+A51*$S$4)*$P$6,0)</f>
        <v>31</v>
      </c>
      <c r="D51" s="2">
        <f t="shared" si="0"/>
        <v>5050</v>
      </c>
      <c r="F51" s="2">
        <f>$V$4*($V$2+A51*$V$3)</f>
        <v>1746</v>
      </c>
      <c r="G51" s="2">
        <f t="shared" si="1"/>
        <v>5246</v>
      </c>
    </row>
    <row r="52" spans="1:7" x14ac:dyDescent="0.25">
      <c r="A52" s="2">
        <v>49</v>
      </c>
      <c r="C52" s="2">
        <f>ROUNDUP(($S$2+A52*$S$4)*$P$6,0)</f>
        <v>32</v>
      </c>
      <c r="D52" s="2">
        <f t="shared" si="0"/>
        <v>5202</v>
      </c>
      <c r="F52" s="2">
        <f>$V$4*($V$2+A52*$V$3)</f>
        <v>1782</v>
      </c>
      <c r="G52" s="2">
        <f t="shared" si="1"/>
        <v>5352</v>
      </c>
    </row>
    <row r="53" spans="1:7" x14ac:dyDescent="0.25">
      <c r="A53" s="2">
        <v>50</v>
      </c>
      <c r="C53" s="2">
        <f>ROUNDUP(($S$2+A53*$S$4)*$P$6,0)</f>
        <v>32</v>
      </c>
      <c r="D53" s="2">
        <f t="shared" si="0"/>
        <v>5304</v>
      </c>
      <c r="F53" s="2">
        <f>$V$4*($V$2+A53*$V$3)</f>
        <v>1818</v>
      </c>
      <c r="G53" s="2">
        <f t="shared" si="1"/>
        <v>5458</v>
      </c>
    </row>
    <row r="54" spans="1:7" x14ac:dyDescent="0.25">
      <c r="A54" s="2">
        <v>51</v>
      </c>
      <c r="C54" s="2">
        <f>ROUNDUP(($S$2+A54*$S$4)*$P$6,0)</f>
        <v>32</v>
      </c>
      <c r="D54" s="2">
        <f t="shared" si="0"/>
        <v>5406</v>
      </c>
      <c r="F54" s="2">
        <f>$V$4*($V$2+A54*$V$3)</f>
        <v>1854</v>
      </c>
      <c r="G54" s="2">
        <f t="shared" si="1"/>
        <v>5564</v>
      </c>
    </row>
    <row r="55" spans="1:7" x14ac:dyDescent="0.25">
      <c r="A55" s="2">
        <v>52</v>
      </c>
      <c r="C55" s="2">
        <f>ROUNDUP(($S$2+A55*$S$4)*$P$6,0)</f>
        <v>33</v>
      </c>
      <c r="D55" s="2">
        <f t="shared" si="0"/>
        <v>5562</v>
      </c>
      <c r="F55" s="2">
        <f>$V$4*($V$2+A55*$V$3)</f>
        <v>1890</v>
      </c>
      <c r="G55" s="2">
        <f t="shared" si="1"/>
        <v>5670</v>
      </c>
    </row>
    <row r="56" spans="1:7" x14ac:dyDescent="0.25">
      <c r="A56" s="2">
        <v>53</v>
      </c>
      <c r="C56" s="2">
        <f>ROUNDUP(($S$2+A56*$S$4)*$P$6,0)</f>
        <v>33</v>
      </c>
      <c r="D56" s="2">
        <f t="shared" si="0"/>
        <v>5665</v>
      </c>
      <c r="F56" s="2">
        <f>$V$4*($V$2+A56*$V$3)</f>
        <v>1926</v>
      </c>
      <c r="G56" s="2">
        <f t="shared" si="1"/>
        <v>5776</v>
      </c>
    </row>
    <row r="57" spans="1:7" x14ac:dyDescent="0.25">
      <c r="A57" s="2">
        <v>54</v>
      </c>
      <c r="C57" s="2">
        <f>ROUNDUP(($S$2+A57*$S$4)*$P$6,0)</f>
        <v>33</v>
      </c>
      <c r="D57" s="2">
        <f t="shared" si="0"/>
        <v>5768</v>
      </c>
      <c r="F57" s="2">
        <f>$V$4*($V$2+A57*$V$3)</f>
        <v>1962</v>
      </c>
      <c r="G57" s="2">
        <f t="shared" si="1"/>
        <v>5882</v>
      </c>
    </row>
    <row r="58" spans="1:7" x14ac:dyDescent="0.25">
      <c r="A58" s="2">
        <v>55</v>
      </c>
      <c r="C58" s="2">
        <f>ROUNDUP(($S$2+A58*$S$4)*$P$6,0)</f>
        <v>33</v>
      </c>
      <c r="D58" s="2">
        <f t="shared" si="0"/>
        <v>5871</v>
      </c>
      <c r="F58" s="2">
        <f>$V$4*($V$2+A58*$V$3)</f>
        <v>1998</v>
      </c>
      <c r="G58" s="2">
        <f t="shared" si="1"/>
        <v>5988</v>
      </c>
    </row>
    <row r="59" spans="1:7" x14ac:dyDescent="0.25">
      <c r="A59" s="2">
        <v>56</v>
      </c>
      <c r="C59" s="2">
        <f>ROUNDUP(($S$2+A59*$S$4)*$P$6,0)</f>
        <v>34</v>
      </c>
      <c r="D59" s="2">
        <f t="shared" si="0"/>
        <v>6032</v>
      </c>
      <c r="F59" s="2">
        <f>$V$4*($V$2+A59*$V$3)</f>
        <v>2034</v>
      </c>
      <c r="G59" s="2">
        <f t="shared" si="1"/>
        <v>6094</v>
      </c>
    </row>
    <row r="60" spans="1:7" x14ac:dyDescent="0.25">
      <c r="A60" s="2">
        <v>57</v>
      </c>
      <c r="C60" s="2">
        <f>ROUNDUP(($S$2+A60*$S$4)*$P$6,0)</f>
        <v>34</v>
      </c>
      <c r="D60" s="2">
        <f t="shared" si="0"/>
        <v>6136</v>
      </c>
      <c r="F60" s="2">
        <f>$V$4*($V$2+A60*$V$3)</f>
        <v>2070</v>
      </c>
      <c r="G60" s="2">
        <f t="shared" si="1"/>
        <v>6200</v>
      </c>
    </row>
    <row r="61" spans="1:7" x14ac:dyDescent="0.25">
      <c r="A61" s="2">
        <v>58</v>
      </c>
      <c r="C61" s="2">
        <f>ROUNDUP(($S$2+A61*$S$4)*$P$6,0)</f>
        <v>34</v>
      </c>
      <c r="D61" s="2">
        <f t="shared" si="0"/>
        <v>6240</v>
      </c>
      <c r="F61" s="2">
        <f>$V$4*($V$2+A61*$V$3)</f>
        <v>2106</v>
      </c>
      <c r="G61" s="2">
        <f t="shared" si="1"/>
        <v>6306</v>
      </c>
    </row>
    <row r="62" spans="1:7" x14ac:dyDescent="0.25">
      <c r="A62" s="2">
        <v>59</v>
      </c>
      <c r="C62" s="2">
        <f>ROUNDUP(($S$2+A62*$S$4)*$P$6,0)</f>
        <v>35</v>
      </c>
      <c r="D62" s="2">
        <f t="shared" si="0"/>
        <v>6405</v>
      </c>
      <c r="F62" s="2">
        <f>$V$4*($V$2+A62*$V$3)</f>
        <v>2142</v>
      </c>
      <c r="G62" s="2">
        <f t="shared" si="1"/>
        <v>6412</v>
      </c>
    </row>
    <row r="63" spans="1:7" x14ac:dyDescent="0.25">
      <c r="A63" s="2">
        <v>60</v>
      </c>
      <c r="C63" s="2">
        <f>ROUNDUP(($S$2+A63*$S$4)*$P$6,0)</f>
        <v>35</v>
      </c>
      <c r="D63" s="2">
        <f t="shared" si="0"/>
        <v>6510</v>
      </c>
      <c r="F63" s="2">
        <f>$V$4*($V$2+A63*$V$3)</f>
        <v>2178</v>
      </c>
      <c r="G63" s="2">
        <f t="shared" si="1"/>
        <v>6518</v>
      </c>
    </row>
    <row r="64" spans="1:7" x14ac:dyDescent="0.25">
      <c r="A64" s="2">
        <v>61</v>
      </c>
      <c r="C64" s="2">
        <f>ROUNDUP(($S$2+A64*$S$4)*$P$6,0)</f>
        <v>35</v>
      </c>
      <c r="D64" s="2">
        <f t="shared" si="0"/>
        <v>6615</v>
      </c>
      <c r="F64" s="2">
        <f>$V$4*($V$2+A64*$V$3)</f>
        <v>2214</v>
      </c>
      <c r="G64" s="2">
        <f t="shared" si="1"/>
        <v>6624</v>
      </c>
    </row>
    <row r="65" spans="1:7" x14ac:dyDescent="0.25">
      <c r="A65" s="2">
        <v>62</v>
      </c>
      <c r="C65" s="2">
        <f>ROUNDUP(($S$2+A65*$S$4)*$P$6,0)</f>
        <v>35</v>
      </c>
      <c r="D65" s="2">
        <f t="shared" si="0"/>
        <v>6720</v>
      </c>
      <c r="F65" s="2">
        <f>$V$4*($V$2+A65*$V$3)</f>
        <v>2250</v>
      </c>
      <c r="G65" s="2">
        <f t="shared" si="1"/>
        <v>6730</v>
      </c>
    </row>
    <row r="66" spans="1:7" x14ac:dyDescent="0.25">
      <c r="A66" s="2">
        <v>63</v>
      </c>
      <c r="C66" s="2">
        <f>ROUNDUP(($S$2+A66*$S$4)*$P$6,0)</f>
        <v>36</v>
      </c>
      <c r="D66" s="2">
        <f t="shared" si="0"/>
        <v>6890</v>
      </c>
      <c r="F66" s="2">
        <f>$V$4*($V$2+A66*$V$3)</f>
        <v>2286</v>
      </c>
      <c r="G66" s="2">
        <f t="shared" si="1"/>
        <v>6836</v>
      </c>
    </row>
    <row r="67" spans="1:7" x14ac:dyDescent="0.25">
      <c r="A67" s="2">
        <v>64</v>
      </c>
      <c r="C67" s="2">
        <f>ROUNDUP(($S$2+A67*$S$4)*$P$6,0)</f>
        <v>36</v>
      </c>
      <c r="D67" s="2">
        <f t="shared" si="0"/>
        <v>6996</v>
      </c>
      <c r="F67" s="2">
        <f>$V$4*($V$2+A67*$V$3)</f>
        <v>2322</v>
      </c>
      <c r="G67" s="2">
        <f t="shared" si="1"/>
        <v>6942</v>
      </c>
    </row>
    <row r="68" spans="1:7" x14ac:dyDescent="0.25">
      <c r="A68" s="2">
        <v>65</v>
      </c>
      <c r="C68" s="2">
        <f>ROUNDUP(($S$2+A68*$S$4)*$P$6,0)</f>
        <v>36</v>
      </c>
      <c r="D68" s="2">
        <f t="shared" ref="D68:D103" si="2">C68*($P$2+A68*$P$3)*2+($P$6-C68)*($P$2+A68*$P$3)</f>
        <v>7102</v>
      </c>
      <c r="F68" s="2">
        <f>$V$4*($V$2+A68*$V$3)</f>
        <v>2358</v>
      </c>
      <c r="G68" s="2">
        <f t="shared" ref="G68:G103" si="3">$P$6*($P$2+A68*$P$3)+F68</f>
        <v>7048</v>
      </c>
    </row>
    <row r="69" spans="1:7" x14ac:dyDescent="0.25">
      <c r="A69" s="2">
        <v>66</v>
      </c>
      <c r="C69" s="2">
        <f>ROUNDUP(($S$2+A69*$S$4)*$P$6,0)</f>
        <v>36</v>
      </c>
      <c r="D69" s="2">
        <f t="shared" si="2"/>
        <v>7208</v>
      </c>
      <c r="F69" s="2">
        <f>$V$4*($V$2+A69*$V$3)</f>
        <v>2394</v>
      </c>
      <c r="G69" s="2">
        <f t="shared" si="3"/>
        <v>7154</v>
      </c>
    </row>
    <row r="70" spans="1:7" x14ac:dyDescent="0.25">
      <c r="A70" s="2">
        <v>67</v>
      </c>
      <c r="C70" s="2">
        <f>ROUNDUP(($S$2+A70*$S$4)*$P$6,0)</f>
        <v>37</v>
      </c>
      <c r="D70" s="2">
        <f t="shared" si="2"/>
        <v>7383</v>
      </c>
      <c r="F70" s="2">
        <f>$V$4*($V$2+A70*$V$3)</f>
        <v>2430</v>
      </c>
      <c r="G70" s="2">
        <f t="shared" si="3"/>
        <v>7260</v>
      </c>
    </row>
    <row r="71" spans="1:7" x14ac:dyDescent="0.25">
      <c r="A71" s="2">
        <v>68</v>
      </c>
      <c r="C71" s="2">
        <f>ROUNDUP(($S$2+A71*$S$4)*$P$6,0)</f>
        <v>37</v>
      </c>
      <c r="D71" s="2">
        <f t="shared" si="2"/>
        <v>7490</v>
      </c>
      <c r="F71" s="2">
        <f>$V$4*($V$2+A71*$V$3)</f>
        <v>2466</v>
      </c>
      <c r="G71" s="2">
        <f t="shared" si="3"/>
        <v>7366</v>
      </c>
    </row>
    <row r="72" spans="1:7" x14ac:dyDescent="0.25">
      <c r="A72" s="2">
        <v>69</v>
      </c>
      <c r="C72" s="2">
        <f>ROUNDUP(($S$2+A72*$S$4)*$P$6,0)</f>
        <v>37</v>
      </c>
      <c r="D72" s="2">
        <f t="shared" si="2"/>
        <v>7597</v>
      </c>
      <c r="F72" s="2">
        <f>$V$4*($V$2+A72*$V$3)</f>
        <v>2502</v>
      </c>
      <c r="G72" s="2">
        <f t="shared" si="3"/>
        <v>7472</v>
      </c>
    </row>
    <row r="73" spans="1:7" x14ac:dyDescent="0.25">
      <c r="A73" s="2">
        <v>70</v>
      </c>
      <c r="C73" s="2">
        <f>ROUNDUP(($S$2+A73*$S$4)*$P$6,0)</f>
        <v>38</v>
      </c>
      <c r="D73" s="2">
        <f t="shared" si="2"/>
        <v>7776</v>
      </c>
      <c r="F73" s="2">
        <f>$V$4*($V$2+A73*$V$3)</f>
        <v>2538</v>
      </c>
      <c r="G73" s="2">
        <f t="shared" si="3"/>
        <v>7578</v>
      </c>
    </row>
    <row r="74" spans="1:7" x14ac:dyDescent="0.25">
      <c r="A74" s="2">
        <v>71</v>
      </c>
      <c r="C74" s="2">
        <f>ROUNDUP(($S$2+A74*$S$4)*$P$6,0)</f>
        <v>38</v>
      </c>
      <c r="D74" s="2">
        <f t="shared" si="2"/>
        <v>7884</v>
      </c>
      <c r="F74" s="2">
        <f>$V$4*($V$2+A74*$V$3)</f>
        <v>2574</v>
      </c>
      <c r="G74" s="2">
        <f t="shared" si="3"/>
        <v>7684</v>
      </c>
    </row>
    <row r="75" spans="1:7" x14ac:dyDescent="0.25">
      <c r="A75" s="2">
        <v>72</v>
      </c>
      <c r="C75" s="2">
        <f>ROUNDUP(($S$2+A75*$S$4)*$P$6,0)</f>
        <v>38</v>
      </c>
      <c r="D75" s="2">
        <f t="shared" si="2"/>
        <v>7992</v>
      </c>
      <c r="F75" s="2">
        <f>$V$4*($V$2+A75*$V$3)</f>
        <v>2610</v>
      </c>
      <c r="G75" s="2">
        <f t="shared" si="3"/>
        <v>7790</v>
      </c>
    </row>
    <row r="76" spans="1:7" x14ac:dyDescent="0.25">
      <c r="A76" s="2">
        <v>73</v>
      </c>
      <c r="C76" s="2">
        <f>ROUNDUP(($S$2+A76*$S$4)*$P$6,0)</f>
        <v>38</v>
      </c>
      <c r="D76" s="2">
        <f t="shared" si="2"/>
        <v>8100</v>
      </c>
      <c r="F76" s="2">
        <f>$V$4*($V$2+A76*$V$3)</f>
        <v>2646</v>
      </c>
      <c r="G76" s="2">
        <f t="shared" si="3"/>
        <v>7896</v>
      </c>
    </row>
    <row r="77" spans="1:7" x14ac:dyDescent="0.25">
      <c r="A77" s="2">
        <v>74</v>
      </c>
      <c r="C77" s="2">
        <f>ROUNDUP(($S$2+A77*$S$4)*$P$6,0)</f>
        <v>39</v>
      </c>
      <c r="D77" s="2">
        <f t="shared" si="2"/>
        <v>8284</v>
      </c>
      <c r="F77" s="2">
        <f>$V$4*($V$2+A77*$V$3)</f>
        <v>2682</v>
      </c>
      <c r="G77" s="2">
        <f t="shared" si="3"/>
        <v>8002</v>
      </c>
    </row>
    <row r="78" spans="1:7" x14ac:dyDescent="0.25">
      <c r="A78" s="2">
        <v>75</v>
      </c>
      <c r="C78" s="2">
        <f>ROUNDUP(($S$2+A78*$S$4)*$P$6,0)</f>
        <v>39</v>
      </c>
      <c r="D78" s="2">
        <f t="shared" si="2"/>
        <v>8393</v>
      </c>
      <c r="F78" s="2">
        <f>$V$4*($V$2+A78*$V$3)</f>
        <v>2718</v>
      </c>
      <c r="G78" s="2">
        <f t="shared" si="3"/>
        <v>8108</v>
      </c>
    </row>
    <row r="79" spans="1:7" x14ac:dyDescent="0.25">
      <c r="A79" s="2">
        <v>76</v>
      </c>
      <c r="C79" s="2">
        <f>ROUNDUP(($S$2+A79*$S$4)*$P$6,0)</f>
        <v>39</v>
      </c>
      <c r="D79" s="2">
        <f t="shared" si="2"/>
        <v>8502</v>
      </c>
      <c r="F79" s="2">
        <f>$V$4*($V$2+A79*$V$3)</f>
        <v>2754</v>
      </c>
      <c r="G79" s="2">
        <f t="shared" si="3"/>
        <v>8214</v>
      </c>
    </row>
    <row r="80" spans="1:7" x14ac:dyDescent="0.25">
      <c r="A80" s="2">
        <v>77</v>
      </c>
      <c r="C80" s="2">
        <f>ROUNDUP(($S$2+A80*$S$4)*$P$6,0)</f>
        <v>40</v>
      </c>
      <c r="D80" s="2">
        <f t="shared" si="2"/>
        <v>8690</v>
      </c>
      <c r="F80" s="2">
        <f>$V$4*($V$2+A80*$V$3)</f>
        <v>2790</v>
      </c>
      <c r="G80" s="2">
        <f t="shared" si="3"/>
        <v>8320</v>
      </c>
    </row>
    <row r="81" spans="1:7" x14ac:dyDescent="0.25">
      <c r="A81" s="2">
        <v>78</v>
      </c>
      <c r="C81" s="2">
        <f>ROUNDUP(($S$2+A81*$S$4)*$P$6,0)</f>
        <v>40</v>
      </c>
      <c r="D81" s="2">
        <f t="shared" si="2"/>
        <v>8800</v>
      </c>
      <c r="F81" s="2">
        <f>$V$4*($V$2+A81*$V$3)</f>
        <v>2826</v>
      </c>
      <c r="G81" s="2">
        <f t="shared" si="3"/>
        <v>8426</v>
      </c>
    </row>
    <row r="82" spans="1:7" x14ac:dyDescent="0.25">
      <c r="A82" s="2">
        <v>79</v>
      </c>
      <c r="C82" s="2">
        <f>ROUNDUP(($S$2+A82*$S$4)*$P$6,0)</f>
        <v>40</v>
      </c>
      <c r="D82" s="2">
        <f t="shared" si="2"/>
        <v>8910</v>
      </c>
      <c r="F82" s="2">
        <f>$V$4*($V$2+A82*$V$3)</f>
        <v>2862</v>
      </c>
      <c r="G82" s="2">
        <f t="shared" si="3"/>
        <v>8532</v>
      </c>
    </row>
    <row r="83" spans="1:7" x14ac:dyDescent="0.25">
      <c r="A83" s="2">
        <v>80</v>
      </c>
      <c r="C83" s="2">
        <f>ROUNDUP(($S$2+A83*$S$4)*$P$6,0)</f>
        <v>40</v>
      </c>
      <c r="D83" s="2">
        <f t="shared" si="2"/>
        <v>9020</v>
      </c>
      <c r="F83" s="2">
        <f>$V$4*($V$2+A83*$V$3)</f>
        <v>2898</v>
      </c>
      <c r="G83" s="2">
        <f t="shared" si="3"/>
        <v>8638</v>
      </c>
    </row>
    <row r="84" spans="1:7" x14ac:dyDescent="0.25">
      <c r="A84" s="2">
        <v>81</v>
      </c>
      <c r="C84" s="2">
        <f>ROUNDUP(($S$2+A84*$S$4)*$P$6,0)</f>
        <v>41</v>
      </c>
      <c r="D84" s="2">
        <f t="shared" si="2"/>
        <v>9213</v>
      </c>
      <c r="F84" s="2">
        <f>$V$4*($V$2+A84*$V$3)</f>
        <v>2934</v>
      </c>
      <c r="G84" s="2">
        <f t="shared" si="3"/>
        <v>8744</v>
      </c>
    </row>
    <row r="85" spans="1:7" x14ac:dyDescent="0.25">
      <c r="A85" s="2">
        <v>82</v>
      </c>
      <c r="C85" s="2">
        <f>ROUNDUP(($S$2+A85*$S$4)*$P$6,0)</f>
        <v>41</v>
      </c>
      <c r="D85" s="2">
        <f t="shared" si="2"/>
        <v>9324</v>
      </c>
      <c r="F85" s="2">
        <f>$V$4*($V$2+A85*$V$3)</f>
        <v>2970</v>
      </c>
      <c r="G85" s="2">
        <f t="shared" si="3"/>
        <v>8850</v>
      </c>
    </row>
    <row r="86" spans="1:7" x14ac:dyDescent="0.25">
      <c r="A86" s="2">
        <v>83</v>
      </c>
      <c r="C86" s="2">
        <f>ROUNDUP(($S$2+A86*$S$4)*$P$6,0)</f>
        <v>41</v>
      </c>
      <c r="D86" s="2">
        <f t="shared" si="2"/>
        <v>9435</v>
      </c>
      <c r="F86" s="2">
        <f>$V$4*($V$2+A86*$V$3)</f>
        <v>3006</v>
      </c>
      <c r="G86" s="2">
        <f t="shared" si="3"/>
        <v>8956</v>
      </c>
    </row>
    <row r="87" spans="1:7" x14ac:dyDescent="0.25">
      <c r="A87" s="2">
        <v>84</v>
      </c>
      <c r="C87" s="2">
        <f>ROUNDUP(($S$2+A87*$S$4)*$P$6,0)</f>
        <v>42</v>
      </c>
      <c r="D87" s="2">
        <f t="shared" si="2"/>
        <v>9632</v>
      </c>
      <c r="F87" s="2">
        <f>$V$4*($V$2+A87*$V$3)</f>
        <v>3042</v>
      </c>
      <c r="G87" s="2">
        <f t="shared" si="3"/>
        <v>9062</v>
      </c>
    </row>
    <row r="88" spans="1:7" x14ac:dyDescent="0.25">
      <c r="A88" s="2">
        <v>85</v>
      </c>
      <c r="C88" s="2">
        <f>ROUNDUP(($S$2+A88*$S$4)*$P$6,0)</f>
        <v>42</v>
      </c>
      <c r="D88" s="2">
        <f t="shared" si="2"/>
        <v>9744</v>
      </c>
      <c r="F88" s="2">
        <f>$V$4*($V$2+A88*$V$3)</f>
        <v>3078</v>
      </c>
      <c r="G88" s="2">
        <f t="shared" si="3"/>
        <v>9168</v>
      </c>
    </row>
    <row r="89" spans="1:7" x14ac:dyDescent="0.25">
      <c r="A89" s="2">
        <v>86</v>
      </c>
      <c r="C89" s="2">
        <f>ROUNDUP(($S$2+A89*$S$4)*$P$6,0)</f>
        <v>42</v>
      </c>
      <c r="D89" s="2">
        <f t="shared" si="2"/>
        <v>9856</v>
      </c>
      <c r="F89" s="2">
        <f>$V$4*($V$2+A89*$V$3)</f>
        <v>3114</v>
      </c>
      <c r="G89" s="2">
        <f t="shared" si="3"/>
        <v>9274</v>
      </c>
    </row>
    <row r="90" spans="1:7" x14ac:dyDescent="0.25">
      <c r="A90" s="2">
        <v>87</v>
      </c>
      <c r="C90" s="2">
        <f>ROUNDUP(($S$2+A90*$S$4)*$P$6,0)</f>
        <v>42</v>
      </c>
      <c r="D90" s="2">
        <f t="shared" si="2"/>
        <v>9968</v>
      </c>
      <c r="F90" s="2">
        <f>$V$4*($V$2+A90*$V$3)</f>
        <v>3150</v>
      </c>
      <c r="G90" s="2">
        <f t="shared" si="3"/>
        <v>9380</v>
      </c>
    </row>
    <row r="91" spans="1:7" x14ac:dyDescent="0.25">
      <c r="A91" s="2">
        <v>88</v>
      </c>
      <c r="C91" s="2">
        <f>ROUNDUP(($S$2+A91*$S$4)*$P$6,0)</f>
        <v>43</v>
      </c>
      <c r="D91" s="2">
        <f t="shared" si="2"/>
        <v>10170</v>
      </c>
      <c r="F91" s="2">
        <f>$V$4*($V$2+A91*$V$3)</f>
        <v>3186</v>
      </c>
      <c r="G91" s="2">
        <f t="shared" si="3"/>
        <v>9486</v>
      </c>
    </row>
    <row r="92" spans="1:7" x14ac:dyDescent="0.25">
      <c r="A92" s="2">
        <v>89</v>
      </c>
      <c r="C92" s="2">
        <f>ROUNDUP(($S$2+A92*$S$4)*$P$6,0)</f>
        <v>43</v>
      </c>
      <c r="D92" s="2">
        <f t="shared" si="2"/>
        <v>10283</v>
      </c>
      <c r="F92" s="2">
        <f>$V$4*($V$2+A92*$V$3)</f>
        <v>3222</v>
      </c>
      <c r="G92" s="2">
        <f t="shared" si="3"/>
        <v>9592</v>
      </c>
    </row>
    <row r="93" spans="1:7" x14ac:dyDescent="0.25">
      <c r="A93" s="2">
        <v>90</v>
      </c>
      <c r="C93" s="2">
        <f>ROUNDUP(($S$2+A93*$S$4)*$P$6,0)</f>
        <v>43</v>
      </c>
      <c r="D93" s="2">
        <f t="shared" si="2"/>
        <v>10396</v>
      </c>
      <c r="F93" s="2">
        <f>$V$4*($V$2+A93*$V$3)</f>
        <v>3258</v>
      </c>
      <c r="G93" s="2">
        <f t="shared" si="3"/>
        <v>9698</v>
      </c>
    </row>
    <row r="94" spans="1:7" x14ac:dyDescent="0.25">
      <c r="A94" s="2">
        <v>91</v>
      </c>
      <c r="C94" s="2">
        <f>ROUNDUP(($S$2+A94*$S$4)*$P$6,0)</f>
        <v>43</v>
      </c>
      <c r="D94" s="2">
        <f t="shared" si="2"/>
        <v>10509</v>
      </c>
      <c r="F94" s="2">
        <f>$V$4*($V$2+A94*$V$3)</f>
        <v>3294</v>
      </c>
      <c r="G94" s="2">
        <f t="shared" si="3"/>
        <v>9804</v>
      </c>
    </row>
    <row r="95" spans="1:7" x14ac:dyDescent="0.25">
      <c r="A95" s="2">
        <v>92</v>
      </c>
      <c r="C95" s="2">
        <f>ROUNDUP(($S$2+A95*$S$4)*$P$6,0)</f>
        <v>44</v>
      </c>
      <c r="D95" s="2">
        <f t="shared" si="2"/>
        <v>10716</v>
      </c>
      <c r="F95" s="2">
        <f>$V$4*($V$2+A95*$V$3)</f>
        <v>3330</v>
      </c>
      <c r="G95" s="2">
        <f t="shared" si="3"/>
        <v>9910</v>
      </c>
    </row>
    <row r="96" spans="1:7" x14ac:dyDescent="0.25">
      <c r="A96" s="2">
        <v>93</v>
      </c>
      <c r="C96" s="2">
        <f>ROUNDUP(($S$2+A96*$S$4)*$P$6,0)</f>
        <v>44</v>
      </c>
      <c r="D96" s="2">
        <f t="shared" si="2"/>
        <v>10830</v>
      </c>
      <c r="F96" s="2">
        <f>$V$4*($V$2+A96*$V$3)</f>
        <v>3366</v>
      </c>
      <c r="G96" s="2">
        <f t="shared" si="3"/>
        <v>10016</v>
      </c>
    </row>
    <row r="97" spans="1:7" x14ac:dyDescent="0.25">
      <c r="A97" s="2">
        <v>94</v>
      </c>
      <c r="C97" s="2">
        <f>ROUNDUP(($S$2+A97*$S$4)*$P$6,0)</f>
        <v>44</v>
      </c>
      <c r="D97" s="2">
        <f t="shared" si="2"/>
        <v>10944</v>
      </c>
      <c r="F97" s="2">
        <f>$V$4*($V$2+A97*$V$3)</f>
        <v>3402</v>
      </c>
      <c r="G97" s="2">
        <f t="shared" si="3"/>
        <v>10122</v>
      </c>
    </row>
    <row r="98" spans="1:7" x14ac:dyDescent="0.25">
      <c r="A98" s="2">
        <v>95</v>
      </c>
      <c r="C98" s="2">
        <f>ROUNDUP(($S$2+A98*$S$4)*$P$6,0)</f>
        <v>45</v>
      </c>
      <c r="D98" s="2">
        <f t="shared" si="2"/>
        <v>11155</v>
      </c>
      <c r="F98" s="2">
        <f>$V$4*($V$2+A98*$V$3)</f>
        <v>3438</v>
      </c>
      <c r="G98" s="2">
        <f t="shared" si="3"/>
        <v>10228</v>
      </c>
    </row>
    <row r="99" spans="1:7" x14ac:dyDescent="0.25">
      <c r="A99" s="2">
        <v>96</v>
      </c>
      <c r="C99" s="2">
        <f>ROUNDUP(($S$2+A99*$S$4)*$P$6,0)</f>
        <v>45</v>
      </c>
      <c r="D99" s="2">
        <f t="shared" si="2"/>
        <v>11270</v>
      </c>
      <c r="F99" s="2">
        <f>$V$4*($V$2+A99*$V$3)</f>
        <v>3474</v>
      </c>
      <c r="G99" s="2">
        <f t="shared" si="3"/>
        <v>10334</v>
      </c>
    </row>
    <row r="100" spans="1:7" x14ac:dyDescent="0.25">
      <c r="A100" s="2">
        <v>97</v>
      </c>
      <c r="C100" s="2">
        <f>ROUNDUP(($S$2+A100*$S$4)*$P$6,0)</f>
        <v>45</v>
      </c>
      <c r="D100" s="2">
        <f t="shared" si="2"/>
        <v>11385</v>
      </c>
      <c r="F100" s="2">
        <f>$V$4*($V$2+A100*$V$3)</f>
        <v>3510</v>
      </c>
      <c r="G100" s="2">
        <f t="shared" si="3"/>
        <v>10440</v>
      </c>
    </row>
    <row r="101" spans="1:7" x14ac:dyDescent="0.25">
      <c r="A101" s="2">
        <v>98</v>
      </c>
      <c r="C101" s="2">
        <f>ROUNDUP(($S$2+A101*$S$4)*$P$6,0)</f>
        <v>45</v>
      </c>
      <c r="D101" s="2">
        <f t="shared" si="2"/>
        <v>11500</v>
      </c>
      <c r="F101" s="2">
        <f>$V$4*($V$2+A101*$V$3)</f>
        <v>3546</v>
      </c>
      <c r="G101" s="2">
        <f t="shared" si="3"/>
        <v>10546</v>
      </c>
    </row>
    <row r="102" spans="1:7" x14ac:dyDescent="0.25">
      <c r="A102" s="2">
        <v>99</v>
      </c>
      <c r="C102" s="2">
        <f>ROUNDUP(($S$2+A102*$S$4)*$P$6,0)</f>
        <v>46</v>
      </c>
      <c r="D102" s="2">
        <f t="shared" si="2"/>
        <v>11716</v>
      </c>
      <c r="F102" s="2">
        <f>$V$4*($V$2+A102*$V$3)</f>
        <v>3582</v>
      </c>
      <c r="G102" s="2">
        <f t="shared" si="3"/>
        <v>10652</v>
      </c>
    </row>
    <row r="103" spans="1:7" x14ac:dyDescent="0.25">
      <c r="A103" s="2">
        <v>100</v>
      </c>
      <c r="C103" s="2">
        <f>ROUNDUP(($S$2+A103*$S$4)*$P$6,0)</f>
        <v>46</v>
      </c>
      <c r="D103" s="2">
        <f t="shared" si="2"/>
        <v>11832</v>
      </c>
      <c r="F103" s="2">
        <f>$V$4*($V$2+A103*$V$3)</f>
        <v>3618</v>
      </c>
      <c r="G103" s="2">
        <f t="shared" si="3"/>
        <v>10758</v>
      </c>
    </row>
  </sheetData>
  <mergeCells count="5">
    <mergeCell ref="C1:D1"/>
    <mergeCell ref="F1:G1"/>
    <mergeCell ref="O1:P1"/>
    <mergeCell ref="R1:S1"/>
    <mergeCell ref="U1:V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G112"/>
  <sheetViews>
    <sheetView workbookViewId="0">
      <selection activeCell="G15" sqref="G15"/>
    </sheetView>
  </sheetViews>
  <sheetFormatPr defaultRowHeight="15" x14ac:dyDescent="0.25"/>
  <cols>
    <col min="1" max="1" width="9.140625" style="2"/>
    <col min="2" max="2" width="13" style="2" customWidth="1"/>
    <col min="3" max="3" width="9.140625" style="2"/>
    <col min="6" max="6" width="18.42578125" customWidth="1"/>
  </cols>
  <sheetData>
    <row r="1" spans="1:7" x14ac:dyDescent="0.25">
      <c r="A1" s="3" t="s">
        <v>14</v>
      </c>
      <c r="B1" s="4" t="s">
        <v>11</v>
      </c>
      <c r="C1" s="3" t="s">
        <v>10</v>
      </c>
      <c r="F1" s="1" t="s">
        <v>12</v>
      </c>
    </row>
    <row r="2" spans="1:7" x14ac:dyDescent="0.25">
      <c r="A2" s="2">
        <v>0</v>
      </c>
      <c r="B2" s="2">
        <f>ROUNDDOWN(ROUNDDOWN(A2+$G$5+$G$6*POWER(2,(A2+$G$5)/$G$7),0)/$G$8,0)</f>
        <v>83</v>
      </c>
      <c r="C2" s="2">
        <v>0</v>
      </c>
    </row>
    <row r="3" spans="1:7" x14ac:dyDescent="0.25">
      <c r="A3" s="2">
        <v>1</v>
      </c>
      <c r="B3" s="2">
        <f t="shared" ref="B3:B66" si="0">ROUNDDOWN(ROUNDDOWN(A3+$G$5+$G$6*POWER(2,(A3+$G$5)/$G$7),0)/$G$8,0)</f>
        <v>91</v>
      </c>
      <c r="C3" s="2">
        <f>SUM(B2)</f>
        <v>83</v>
      </c>
      <c r="F3" t="s">
        <v>13</v>
      </c>
    </row>
    <row r="4" spans="1:7" x14ac:dyDescent="0.25">
      <c r="A4" s="2">
        <v>2</v>
      </c>
      <c r="B4" s="2">
        <f t="shared" si="0"/>
        <v>101</v>
      </c>
      <c r="C4" s="2">
        <f>SUM(B2:B3)</f>
        <v>174</v>
      </c>
      <c r="F4" s="7" t="s">
        <v>17</v>
      </c>
      <c r="G4" s="2" t="s">
        <v>20</v>
      </c>
    </row>
    <row r="5" spans="1:7" x14ac:dyDescent="0.25">
      <c r="A5" s="2">
        <v>3</v>
      </c>
      <c r="B5" s="2">
        <f t="shared" si="0"/>
        <v>112</v>
      </c>
      <c r="C5" s="2">
        <f t="shared" ref="C5:C68" si="1">SUM(B3:B4)</f>
        <v>192</v>
      </c>
      <c r="F5" s="3" t="s">
        <v>15</v>
      </c>
      <c r="G5" s="2">
        <v>1</v>
      </c>
    </row>
    <row r="6" spans="1:7" x14ac:dyDescent="0.25">
      <c r="A6" s="2">
        <v>4</v>
      </c>
      <c r="B6" s="2">
        <f t="shared" si="0"/>
        <v>124</v>
      </c>
      <c r="C6" s="2">
        <f t="shared" si="1"/>
        <v>213</v>
      </c>
      <c r="F6" s="9" t="s">
        <v>16</v>
      </c>
      <c r="G6" s="2">
        <v>300</v>
      </c>
    </row>
    <row r="7" spans="1:7" x14ac:dyDescent="0.25">
      <c r="A7" s="2">
        <v>5</v>
      </c>
      <c r="B7" s="2">
        <f t="shared" si="0"/>
        <v>137</v>
      </c>
      <c r="C7" s="2">
        <f t="shared" si="1"/>
        <v>236</v>
      </c>
      <c r="F7" s="5" t="s">
        <v>18</v>
      </c>
      <c r="G7" s="2">
        <v>7</v>
      </c>
    </row>
    <row r="8" spans="1:7" x14ac:dyDescent="0.25">
      <c r="A8" s="2">
        <v>6</v>
      </c>
      <c r="B8" s="2">
        <f t="shared" si="0"/>
        <v>151</v>
      </c>
      <c r="C8" s="2">
        <f t="shared" si="1"/>
        <v>261</v>
      </c>
      <c r="F8" s="6" t="s">
        <v>19</v>
      </c>
      <c r="G8" s="2">
        <v>4</v>
      </c>
    </row>
    <row r="9" spans="1:7" x14ac:dyDescent="0.25">
      <c r="A9" s="2">
        <v>7</v>
      </c>
      <c r="B9" s="2">
        <f t="shared" si="0"/>
        <v>167</v>
      </c>
      <c r="C9" s="2">
        <f t="shared" si="1"/>
        <v>288</v>
      </c>
    </row>
    <row r="10" spans="1:7" x14ac:dyDescent="0.25">
      <c r="A10" s="2">
        <v>8</v>
      </c>
      <c r="B10" s="2">
        <f t="shared" si="0"/>
        <v>185</v>
      </c>
      <c r="C10" s="2">
        <f t="shared" si="1"/>
        <v>318</v>
      </c>
    </row>
    <row r="11" spans="1:7" x14ac:dyDescent="0.25">
      <c r="A11" s="2">
        <v>9</v>
      </c>
      <c r="B11" s="2">
        <f t="shared" si="0"/>
        <v>204</v>
      </c>
      <c r="C11" s="2">
        <f t="shared" si="1"/>
        <v>352</v>
      </c>
    </row>
    <row r="12" spans="1:7" x14ac:dyDescent="0.25">
      <c r="A12" s="2">
        <v>10</v>
      </c>
      <c r="B12" s="2">
        <f t="shared" si="0"/>
        <v>225</v>
      </c>
      <c r="C12" s="2">
        <f t="shared" si="1"/>
        <v>389</v>
      </c>
    </row>
    <row r="13" spans="1:7" x14ac:dyDescent="0.25">
      <c r="A13" s="2">
        <v>11</v>
      </c>
      <c r="B13" s="2">
        <f t="shared" si="0"/>
        <v>249</v>
      </c>
      <c r="C13" s="2">
        <f t="shared" si="1"/>
        <v>429</v>
      </c>
    </row>
    <row r="14" spans="1:7" x14ac:dyDescent="0.25">
      <c r="A14" s="2">
        <v>12</v>
      </c>
      <c r="B14" s="2">
        <f t="shared" si="0"/>
        <v>274</v>
      </c>
      <c r="C14" s="2">
        <f t="shared" si="1"/>
        <v>474</v>
      </c>
    </row>
    <row r="15" spans="1:7" x14ac:dyDescent="0.25">
      <c r="A15" s="2">
        <v>13</v>
      </c>
      <c r="B15" s="2">
        <f t="shared" si="0"/>
        <v>303</v>
      </c>
      <c r="C15" s="2">
        <f t="shared" si="1"/>
        <v>523</v>
      </c>
    </row>
    <row r="16" spans="1:7" x14ac:dyDescent="0.25">
      <c r="A16" s="2">
        <v>14</v>
      </c>
      <c r="B16" s="2">
        <f t="shared" si="0"/>
        <v>334</v>
      </c>
      <c r="C16" s="2">
        <f t="shared" si="1"/>
        <v>577</v>
      </c>
    </row>
    <row r="17" spans="1:3" x14ac:dyDescent="0.25">
      <c r="A17" s="2">
        <v>15</v>
      </c>
      <c r="B17" s="2">
        <f t="shared" si="0"/>
        <v>369</v>
      </c>
      <c r="C17" s="2">
        <f t="shared" si="1"/>
        <v>637</v>
      </c>
    </row>
    <row r="18" spans="1:3" x14ac:dyDescent="0.25">
      <c r="A18" s="2">
        <v>16</v>
      </c>
      <c r="B18" s="2">
        <f t="shared" si="0"/>
        <v>408</v>
      </c>
      <c r="C18" s="2">
        <f t="shared" si="1"/>
        <v>703</v>
      </c>
    </row>
    <row r="19" spans="1:3" x14ac:dyDescent="0.25">
      <c r="A19" s="2">
        <v>17</v>
      </c>
      <c r="B19" s="2">
        <f t="shared" si="0"/>
        <v>450</v>
      </c>
      <c r="C19" s="2">
        <f t="shared" si="1"/>
        <v>777</v>
      </c>
    </row>
    <row r="20" spans="1:3" x14ac:dyDescent="0.25">
      <c r="A20" s="2">
        <v>18</v>
      </c>
      <c r="B20" s="2">
        <f t="shared" si="0"/>
        <v>496</v>
      </c>
      <c r="C20" s="2">
        <f t="shared" si="1"/>
        <v>858</v>
      </c>
    </row>
    <row r="21" spans="1:3" x14ac:dyDescent="0.25">
      <c r="A21" s="2">
        <v>19</v>
      </c>
      <c r="B21" s="2">
        <f t="shared" si="0"/>
        <v>548</v>
      </c>
      <c r="C21" s="2">
        <f t="shared" si="1"/>
        <v>946</v>
      </c>
    </row>
    <row r="22" spans="1:3" x14ac:dyDescent="0.25">
      <c r="A22" s="2">
        <v>20</v>
      </c>
      <c r="B22" s="2">
        <f t="shared" si="0"/>
        <v>605</v>
      </c>
      <c r="C22" s="2">
        <f t="shared" si="1"/>
        <v>1044</v>
      </c>
    </row>
    <row r="23" spans="1:3" x14ac:dyDescent="0.25">
      <c r="A23" s="2">
        <v>21</v>
      </c>
      <c r="B23" s="2">
        <f t="shared" si="0"/>
        <v>667</v>
      </c>
      <c r="C23" s="2">
        <f t="shared" si="1"/>
        <v>1153</v>
      </c>
    </row>
    <row r="24" spans="1:3" x14ac:dyDescent="0.25">
      <c r="A24" s="2">
        <v>22</v>
      </c>
      <c r="B24" s="2">
        <f t="shared" si="0"/>
        <v>737</v>
      </c>
      <c r="C24" s="2">
        <f t="shared" si="1"/>
        <v>1272</v>
      </c>
    </row>
    <row r="25" spans="1:3" x14ac:dyDescent="0.25">
      <c r="A25" s="2">
        <v>23</v>
      </c>
      <c r="B25" s="2">
        <f t="shared" si="0"/>
        <v>813</v>
      </c>
      <c r="C25" s="2">
        <f t="shared" si="1"/>
        <v>1404</v>
      </c>
    </row>
    <row r="26" spans="1:3" x14ac:dyDescent="0.25">
      <c r="A26" s="2">
        <v>24</v>
      </c>
      <c r="B26" s="2">
        <f t="shared" si="0"/>
        <v>897</v>
      </c>
      <c r="C26" s="2">
        <f t="shared" si="1"/>
        <v>1550</v>
      </c>
    </row>
    <row r="27" spans="1:3" x14ac:dyDescent="0.25">
      <c r="A27" s="2">
        <v>25</v>
      </c>
      <c r="B27" s="2">
        <f t="shared" si="0"/>
        <v>990</v>
      </c>
      <c r="C27" s="2">
        <f t="shared" si="1"/>
        <v>1710</v>
      </c>
    </row>
    <row r="28" spans="1:3" x14ac:dyDescent="0.25">
      <c r="A28" s="2">
        <v>26</v>
      </c>
      <c r="B28" s="2">
        <f t="shared" si="0"/>
        <v>1093</v>
      </c>
      <c r="C28" s="2">
        <f t="shared" si="1"/>
        <v>1887</v>
      </c>
    </row>
    <row r="29" spans="1:3" x14ac:dyDescent="0.25">
      <c r="A29" s="2">
        <v>27</v>
      </c>
      <c r="B29" s="2">
        <f t="shared" si="0"/>
        <v>1207</v>
      </c>
      <c r="C29" s="2">
        <f t="shared" si="1"/>
        <v>2083</v>
      </c>
    </row>
    <row r="30" spans="1:3" x14ac:dyDescent="0.25">
      <c r="A30" s="2">
        <v>28</v>
      </c>
      <c r="B30" s="2">
        <f t="shared" si="0"/>
        <v>1332</v>
      </c>
      <c r="C30" s="2">
        <f t="shared" si="1"/>
        <v>2300</v>
      </c>
    </row>
    <row r="31" spans="1:3" x14ac:dyDescent="0.25">
      <c r="A31" s="2">
        <v>29</v>
      </c>
      <c r="B31" s="2">
        <f t="shared" si="0"/>
        <v>1470</v>
      </c>
      <c r="C31" s="2">
        <f t="shared" si="1"/>
        <v>2539</v>
      </c>
    </row>
    <row r="32" spans="1:3" x14ac:dyDescent="0.25">
      <c r="A32" s="2">
        <v>30</v>
      </c>
      <c r="B32" s="2">
        <f t="shared" si="0"/>
        <v>1622</v>
      </c>
      <c r="C32" s="2">
        <f t="shared" si="1"/>
        <v>2802</v>
      </c>
    </row>
    <row r="33" spans="1:3" x14ac:dyDescent="0.25">
      <c r="A33" s="2">
        <v>31</v>
      </c>
      <c r="B33" s="2">
        <f t="shared" si="0"/>
        <v>1791</v>
      </c>
      <c r="C33" s="2">
        <f t="shared" si="1"/>
        <v>3092</v>
      </c>
    </row>
    <row r="34" spans="1:3" x14ac:dyDescent="0.25">
      <c r="A34" s="2">
        <v>32</v>
      </c>
      <c r="B34" s="2">
        <f t="shared" si="0"/>
        <v>1977</v>
      </c>
      <c r="C34" s="2">
        <f t="shared" si="1"/>
        <v>3413</v>
      </c>
    </row>
    <row r="35" spans="1:3" x14ac:dyDescent="0.25">
      <c r="A35" s="2">
        <v>33</v>
      </c>
      <c r="B35" s="2">
        <f t="shared" si="0"/>
        <v>2182</v>
      </c>
      <c r="C35" s="2">
        <f t="shared" si="1"/>
        <v>3768</v>
      </c>
    </row>
    <row r="36" spans="1:3" x14ac:dyDescent="0.25">
      <c r="A36" s="2">
        <v>34</v>
      </c>
      <c r="B36" s="2">
        <f t="shared" si="0"/>
        <v>2408</v>
      </c>
      <c r="C36" s="2">
        <f t="shared" si="1"/>
        <v>4159</v>
      </c>
    </row>
    <row r="37" spans="1:3" x14ac:dyDescent="0.25">
      <c r="A37" s="2">
        <v>35</v>
      </c>
      <c r="B37" s="2">
        <f t="shared" si="0"/>
        <v>2658</v>
      </c>
      <c r="C37" s="2">
        <f t="shared" si="1"/>
        <v>4590</v>
      </c>
    </row>
    <row r="38" spans="1:3" x14ac:dyDescent="0.25">
      <c r="A38" s="2">
        <v>36</v>
      </c>
      <c r="B38" s="2">
        <f t="shared" si="0"/>
        <v>2934</v>
      </c>
      <c r="C38" s="2">
        <f t="shared" si="1"/>
        <v>5066</v>
      </c>
    </row>
    <row r="39" spans="1:3" x14ac:dyDescent="0.25">
      <c r="A39" s="2">
        <v>37</v>
      </c>
      <c r="B39" s="2">
        <f t="shared" si="0"/>
        <v>3239</v>
      </c>
      <c r="C39" s="2">
        <f t="shared" si="1"/>
        <v>5592</v>
      </c>
    </row>
    <row r="40" spans="1:3" x14ac:dyDescent="0.25">
      <c r="A40" s="2">
        <v>38</v>
      </c>
      <c r="B40" s="2">
        <f t="shared" si="0"/>
        <v>3576</v>
      </c>
      <c r="C40" s="2">
        <f t="shared" si="1"/>
        <v>6173</v>
      </c>
    </row>
    <row r="41" spans="1:3" x14ac:dyDescent="0.25">
      <c r="A41" s="2">
        <v>39</v>
      </c>
      <c r="B41" s="2">
        <f t="shared" si="0"/>
        <v>3947</v>
      </c>
      <c r="C41" s="2">
        <f t="shared" si="1"/>
        <v>6815</v>
      </c>
    </row>
    <row r="42" spans="1:3" x14ac:dyDescent="0.25">
      <c r="A42" s="2">
        <v>40</v>
      </c>
      <c r="B42" s="2">
        <f t="shared" si="0"/>
        <v>4357</v>
      </c>
      <c r="C42" s="2">
        <f t="shared" si="1"/>
        <v>7523</v>
      </c>
    </row>
    <row r="43" spans="1:3" x14ac:dyDescent="0.25">
      <c r="A43" s="2">
        <v>41</v>
      </c>
      <c r="B43" s="2">
        <f t="shared" si="0"/>
        <v>4810</v>
      </c>
      <c r="C43" s="2">
        <f t="shared" si="1"/>
        <v>8304</v>
      </c>
    </row>
    <row r="44" spans="1:3" x14ac:dyDescent="0.25">
      <c r="A44" s="2">
        <v>42</v>
      </c>
      <c r="B44" s="2">
        <f t="shared" si="0"/>
        <v>5310</v>
      </c>
      <c r="C44" s="2">
        <f t="shared" si="1"/>
        <v>9167</v>
      </c>
    </row>
    <row r="45" spans="1:3" x14ac:dyDescent="0.25">
      <c r="A45" s="2">
        <v>43</v>
      </c>
      <c r="B45" s="2">
        <f t="shared" si="0"/>
        <v>5862</v>
      </c>
      <c r="C45" s="2">
        <f t="shared" si="1"/>
        <v>10120</v>
      </c>
    </row>
    <row r="46" spans="1:3" x14ac:dyDescent="0.25">
      <c r="A46" s="2">
        <v>44</v>
      </c>
      <c r="B46" s="2">
        <f t="shared" si="0"/>
        <v>6471</v>
      </c>
      <c r="C46" s="2">
        <f t="shared" si="1"/>
        <v>11172</v>
      </c>
    </row>
    <row r="47" spans="1:3" x14ac:dyDescent="0.25">
      <c r="A47" s="2">
        <v>45</v>
      </c>
      <c r="B47" s="2">
        <f t="shared" si="0"/>
        <v>7144</v>
      </c>
      <c r="C47" s="2">
        <f t="shared" si="1"/>
        <v>12333</v>
      </c>
    </row>
    <row r="48" spans="1:3" x14ac:dyDescent="0.25">
      <c r="A48" s="2">
        <v>46</v>
      </c>
      <c r="B48" s="2">
        <f t="shared" si="0"/>
        <v>7886</v>
      </c>
      <c r="C48" s="2">
        <f t="shared" si="1"/>
        <v>13615</v>
      </c>
    </row>
    <row r="49" spans="1:3" x14ac:dyDescent="0.25">
      <c r="A49" s="2">
        <v>47</v>
      </c>
      <c r="B49" s="2">
        <f t="shared" si="0"/>
        <v>8706</v>
      </c>
      <c r="C49" s="2">
        <f t="shared" si="1"/>
        <v>15030</v>
      </c>
    </row>
    <row r="50" spans="1:3" x14ac:dyDescent="0.25">
      <c r="A50" s="2">
        <v>48</v>
      </c>
      <c r="B50" s="2">
        <f t="shared" si="0"/>
        <v>9612</v>
      </c>
      <c r="C50" s="2">
        <f t="shared" si="1"/>
        <v>16592</v>
      </c>
    </row>
    <row r="51" spans="1:3" x14ac:dyDescent="0.25">
      <c r="A51" s="2">
        <v>49</v>
      </c>
      <c r="B51" s="2">
        <f t="shared" si="0"/>
        <v>10611</v>
      </c>
      <c r="C51" s="2">
        <f t="shared" si="1"/>
        <v>18318</v>
      </c>
    </row>
    <row r="52" spans="1:3" x14ac:dyDescent="0.25">
      <c r="A52" s="2">
        <v>50</v>
      </c>
      <c r="B52" s="2">
        <f t="shared" si="0"/>
        <v>11715</v>
      </c>
      <c r="C52" s="2">
        <f t="shared" si="1"/>
        <v>20223</v>
      </c>
    </row>
    <row r="53" spans="1:3" x14ac:dyDescent="0.25">
      <c r="A53" s="2">
        <v>51</v>
      </c>
      <c r="B53" s="2">
        <f t="shared" si="0"/>
        <v>12933</v>
      </c>
      <c r="C53" s="2">
        <f t="shared" si="1"/>
        <v>22326</v>
      </c>
    </row>
    <row r="54" spans="1:3" x14ac:dyDescent="0.25">
      <c r="A54" s="2">
        <v>52</v>
      </c>
      <c r="B54" s="2">
        <f t="shared" si="0"/>
        <v>14278</v>
      </c>
      <c r="C54" s="2">
        <f t="shared" si="1"/>
        <v>24648</v>
      </c>
    </row>
    <row r="55" spans="1:3" x14ac:dyDescent="0.25">
      <c r="A55" s="2">
        <v>53</v>
      </c>
      <c r="B55" s="2">
        <f t="shared" si="0"/>
        <v>15763</v>
      </c>
      <c r="C55" s="2">
        <f t="shared" si="1"/>
        <v>27211</v>
      </c>
    </row>
    <row r="56" spans="1:3" x14ac:dyDescent="0.25">
      <c r="A56" s="2">
        <v>54</v>
      </c>
      <c r="B56" s="2">
        <f t="shared" si="0"/>
        <v>17403</v>
      </c>
      <c r="C56" s="2">
        <f t="shared" si="1"/>
        <v>30041</v>
      </c>
    </row>
    <row r="57" spans="1:3" x14ac:dyDescent="0.25">
      <c r="A57" s="2">
        <v>55</v>
      </c>
      <c r="B57" s="2">
        <f t="shared" si="0"/>
        <v>19214</v>
      </c>
      <c r="C57" s="2">
        <f t="shared" si="1"/>
        <v>33166</v>
      </c>
    </row>
    <row r="58" spans="1:3" x14ac:dyDescent="0.25">
      <c r="A58" s="2">
        <v>56</v>
      </c>
      <c r="B58" s="2">
        <f t="shared" si="0"/>
        <v>21212</v>
      </c>
      <c r="C58" s="2">
        <f t="shared" si="1"/>
        <v>36617</v>
      </c>
    </row>
    <row r="59" spans="1:3" x14ac:dyDescent="0.25">
      <c r="A59" s="2">
        <v>57</v>
      </c>
      <c r="B59" s="2">
        <f t="shared" si="0"/>
        <v>23419</v>
      </c>
      <c r="C59" s="2">
        <f t="shared" si="1"/>
        <v>40426</v>
      </c>
    </row>
    <row r="60" spans="1:3" x14ac:dyDescent="0.25">
      <c r="A60" s="2">
        <v>58</v>
      </c>
      <c r="B60" s="2">
        <f t="shared" si="0"/>
        <v>25856</v>
      </c>
      <c r="C60" s="2">
        <f t="shared" si="1"/>
        <v>44631</v>
      </c>
    </row>
    <row r="61" spans="1:3" x14ac:dyDescent="0.25">
      <c r="A61" s="2">
        <v>59</v>
      </c>
      <c r="B61" s="2">
        <f t="shared" si="0"/>
        <v>28546</v>
      </c>
      <c r="C61" s="2">
        <f t="shared" si="1"/>
        <v>49275</v>
      </c>
    </row>
    <row r="62" spans="1:3" x14ac:dyDescent="0.25">
      <c r="A62" s="2">
        <v>60</v>
      </c>
      <c r="B62" s="2">
        <f t="shared" si="0"/>
        <v>31516</v>
      </c>
      <c r="C62" s="2">
        <f t="shared" si="1"/>
        <v>54402</v>
      </c>
    </row>
    <row r="63" spans="1:3" x14ac:dyDescent="0.25">
      <c r="A63" s="2">
        <v>61</v>
      </c>
      <c r="B63" s="2">
        <f t="shared" si="0"/>
        <v>34795</v>
      </c>
      <c r="C63" s="2">
        <f t="shared" si="1"/>
        <v>60062</v>
      </c>
    </row>
    <row r="64" spans="1:3" x14ac:dyDescent="0.25">
      <c r="A64" s="2">
        <v>62</v>
      </c>
      <c r="B64" s="2">
        <f t="shared" si="0"/>
        <v>38415</v>
      </c>
      <c r="C64" s="2">
        <f t="shared" si="1"/>
        <v>66311</v>
      </c>
    </row>
    <row r="65" spans="1:3" x14ac:dyDescent="0.25">
      <c r="A65" s="2">
        <v>63</v>
      </c>
      <c r="B65" s="2">
        <f t="shared" si="0"/>
        <v>42413</v>
      </c>
      <c r="C65" s="2">
        <f t="shared" si="1"/>
        <v>73210</v>
      </c>
    </row>
    <row r="66" spans="1:3" x14ac:dyDescent="0.25">
      <c r="A66" s="2">
        <v>64</v>
      </c>
      <c r="B66" s="2">
        <f t="shared" si="0"/>
        <v>46826</v>
      </c>
      <c r="C66" s="2">
        <f t="shared" si="1"/>
        <v>80828</v>
      </c>
    </row>
    <row r="67" spans="1:3" x14ac:dyDescent="0.25">
      <c r="A67" s="2">
        <v>65</v>
      </c>
      <c r="B67" s="2">
        <f t="shared" ref="B67:B112" si="2">ROUNDDOWN(ROUNDDOWN(A67+$G$5+$G$6*POWER(2,(A67+$G$5)/$G$7),0)/$G$8,0)</f>
        <v>51699</v>
      </c>
      <c r="C67" s="2">
        <f t="shared" si="1"/>
        <v>89239</v>
      </c>
    </row>
    <row r="68" spans="1:3" x14ac:dyDescent="0.25">
      <c r="A68" s="2">
        <v>66</v>
      </c>
      <c r="B68" s="2">
        <f t="shared" si="2"/>
        <v>57078</v>
      </c>
      <c r="C68" s="2">
        <f t="shared" si="1"/>
        <v>98525</v>
      </c>
    </row>
    <row r="69" spans="1:3" x14ac:dyDescent="0.25">
      <c r="A69" s="2">
        <v>67</v>
      </c>
      <c r="B69" s="2">
        <f t="shared" si="2"/>
        <v>63018</v>
      </c>
      <c r="C69" s="2">
        <f t="shared" ref="C69:C112" si="3">SUM(B67:B68)</f>
        <v>108777</v>
      </c>
    </row>
    <row r="70" spans="1:3" x14ac:dyDescent="0.25">
      <c r="A70" s="2">
        <v>68</v>
      </c>
      <c r="B70" s="2">
        <f t="shared" si="2"/>
        <v>69576</v>
      </c>
      <c r="C70" s="2">
        <f t="shared" si="3"/>
        <v>120096</v>
      </c>
    </row>
    <row r="71" spans="1:3" x14ac:dyDescent="0.25">
      <c r="A71" s="2">
        <v>69</v>
      </c>
      <c r="B71" s="2">
        <f t="shared" si="2"/>
        <v>76817</v>
      </c>
      <c r="C71" s="2">
        <f t="shared" si="3"/>
        <v>132594</v>
      </c>
    </row>
    <row r="72" spans="1:3" x14ac:dyDescent="0.25">
      <c r="A72" s="2">
        <v>70</v>
      </c>
      <c r="B72" s="2">
        <f t="shared" si="2"/>
        <v>84811</v>
      </c>
      <c r="C72" s="2">
        <f t="shared" si="3"/>
        <v>146393</v>
      </c>
    </row>
    <row r="73" spans="1:3" x14ac:dyDescent="0.25">
      <c r="A73" s="2">
        <v>71</v>
      </c>
      <c r="B73" s="2">
        <f t="shared" si="2"/>
        <v>93638</v>
      </c>
      <c r="C73" s="2">
        <f t="shared" si="3"/>
        <v>161628</v>
      </c>
    </row>
    <row r="74" spans="1:3" x14ac:dyDescent="0.25">
      <c r="A74" s="2">
        <v>72</v>
      </c>
      <c r="B74" s="2">
        <f t="shared" si="2"/>
        <v>103383</v>
      </c>
      <c r="C74" s="2">
        <f t="shared" si="3"/>
        <v>178449</v>
      </c>
    </row>
    <row r="75" spans="1:3" x14ac:dyDescent="0.25">
      <c r="A75" s="2">
        <v>73</v>
      </c>
      <c r="B75" s="2">
        <f t="shared" si="2"/>
        <v>114142</v>
      </c>
      <c r="C75" s="2">
        <f t="shared" si="3"/>
        <v>197021</v>
      </c>
    </row>
    <row r="76" spans="1:3" x14ac:dyDescent="0.25">
      <c r="A76" s="2">
        <v>74</v>
      </c>
      <c r="B76" s="2">
        <f t="shared" si="2"/>
        <v>126022</v>
      </c>
      <c r="C76" s="2">
        <f t="shared" si="3"/>
        <v>217525</v>
      </c>
    </row>
    <row r="77" spans="1:3" x14ac:dyDescent="0.25">
      <c r="A77" s="2">
        <v>75</v>
      </c>
      <c r="B77" s="2">
        <f t="shared" si="2"/>
        <v>139138</v>
      </c>
      <c r="C77" s="2">
        <f t="shared" si="3"/>
        <v>240164</v>
      </c>
    </row>
    <row r="78" spans="1:3" x14ac:dyDescent="0.25">
      <c r="A78" s="2">
        <v>76</v>
      </c>
      <c r="B78" s="2">
        <f t="shared" si="2"/>
        <v>153619</v>
      </c>
      <c r="C78" s="2">
        <f t="shared" si="3"/>
        <v>265160</v>
      </c>
    </row>
    <row r="79" spans="1:3" x14ac:dyDescent="0.25">
      <c r="A79" s="2">
        <v>77</v>
      </c>
      <c r="B79" s="2">
        <f t="shared" si="2"/>
        <v>169607</v>
      </c>
      <c r="C79" s="2">
        <f t="shared" si="3"/>
        <v>292757</v>
      </c>
    </row>
    <row r="80" spans="1:3" x14ac:dyDescent="0.25">
      <c r="A80" s="2">
        <v>78</v>
      </c>
      <c r="B80" s="2">
        <f t="shared" si="2"/>
        <v>187260</v>
      </c>
      <c r="C80" s="2">
        <f t="shared" si="3"/>
        <v>323226</v>
      </c>
    </row>
    <row r="81" spans="1:3" x14ac:dyDescent="0.25">
      <c r="A81" s="2">
        <v>79</v>
      </c>
      <c r="B81" s="2">
        <f t="shared" si="2"/>
        <v>206750</v>
      </c>
      <c r="C81" s="2">
        <f t="shared" si="3"/>
        <v>356867</v>
      </c>
    </row>
    <row r="82" spans="1:3" x14ac:dyDescent="0.25">
      <c r="A82" s="2">
        <v>80</v>
      </c>
      <c r="B82" s="2">
        <f t="shared" si="2"/>
        <v>228268</v>
      </c>
      <c r="C82" s="2">
        <f t="shared" si="3"/>
        <v>394010</v>
      </c>
    </row>
    <row r="83" spans="1:3" x14ac:dyDescent="0.25">
      <c r="A83" s="2">
        <v>81</v>
      </c>
      <c r="B83" s="2">
        <f t="shared" si="2"/>
        <v>252027</v>
      </c>
      <c r="C83" s="2">
        <f t="shared" si="3"/>
        <v>435018</v>
      </c>
    </row>
    <row r="84" spans="1:3" x14ac:dyDescent="0.25">
      <c r="A84" s="2">
        <v>82</v>
      </c>
      <c r="B84" s="2">
        <f t="shared" si="2"/>
        <v>278259</v>
      </c>
      <c r="C84" s="2">
        <f t="shared" si="3"/>
        <v>480295</v>
      </c>
    </row>
    <row r="85" spans="1:3" x14ac:dyDescent="0.25">
      <c r="A85" s="2">
        <v>83</v>
      </c>
      <c r="B85" s="2">
        <f t="shared" si="2"/>
        <v>307221</v>
      </c>
      <c r="C85" s="2">
        <f t="shared" si="3"/>
        <v>530286</v>
      </c>
    </row>
    <row r="86" spans="1:3" x14ac:dyDescent="0.25">
      <c r="A86" s="2">
        <v>84</v>
      </c>
      <c r="B86" s="2">
        <f t="shared" si="2"/>
        <v>339197</v>
      </c>
      <c r="C86" s="2">
        <f t="shared" si="3"/>
        <v>585480</v>
      </c>
    </row>
    <row r="87" spans="1:3" x14ac:dyDescent="0.25">
      <c r="A87" s="2">
        <v>85</v>
      </c>
      <c r="B87" s="2">
        <f t="shared" si="2"/>
        <v>374502</v>
      </c>
      <c r="C87" s="2">
        <f t="shared" si="3"/>
        <v>646418</v>
      </c>
    </row>
    <row r="88" spans="1:3" x14ac:dyDescent="0.25">
      <c r="A88" s="2">
        <v>86</v>
      </c>
      <c r="B88" s="2">
        <f t="shared" si="2"/>
        <v>413482</v>
      </c>
      <c r="C88" s="2">
        <f t="shared" si="3"/>
        <v>713699</v>
      </c>
    </row>
    <row r="89" spans="1:3" x14ac:dyDescent="0.25">
      <c r="A89" s="2">
        <v>87</v>
      </c>
      <c r="B89" s="2">
        <f t="shared" si="2"/>
        <v>456519</v>
      </c>
      <c r="C89" s="2">
        <f t="shared" si="3"/>
        <v>787984</v>
      </c>
    </row>
    <row r="90" spans="1:3" x14ac:dyDescent="0.25">
      <c r="A90" s="2">
        <v>88</v>
      </c>
      <c r="B90" s="2">
        <f t="shared" si="2"/>
        <v>504036</v>
      </c>
      <c r="C90" s="2">
        <f t="shared" si="3"/>
        <v>870001</v>
      </c>
    </row>
    <row r="91" spans="1:3" x14ac:dyDescent="0.25">
      <c r="A91" s="2">
        <v>89</v>
      </c>
      <c r="B91" s="2">
        <f t="shared" si="2"/>
        <v>556499</v>
      </c>
      <c r="C91" s="2">
        <f t="shared" si="3"/>
        <v>960555</v>
      </c>
    </row>
    <row r="92" spans="1:3" x14ac:dyDescent="0.25">
      <c r="A92" s="2">
        <v>90</v>
      </c>
      <c r="B92" s="2">
        <f t="shared" si="2"/>
        <v>614422</v>
      </c>
      <c r="C92" s="2">
        <f t="shared" si="3"/>
        <v>1060535</v>
      </c>
    </row>
    <row r="93" spans="1:3" x14ac:dyDescent="0.25">
      <c r="A93" s="2">
        <v>91</v>
      </c>
      <c r="B93" s="2">
        <f t="shared" si="2"/>
        <v>678375</v>
      </c>
      <c r="C93" s="2">
        <f t="shared" si="3"/>
        <v>1170921</v>
      </c>
    </row>
    <row r="94" spans="1:3" x14ac:dyDescent="0.25">
      <c r="A94" s="2">
        <v>92</v>
      </c>
      <c r="B94" s="2">
        <f t="shared" si="2"/>
        <v>748985</v>
      </c>
      <c r="C94" s="2">
        <f t="shared" si="3"/>
        <v>1292797</v>
      </c>
    </row>
    <row r="95" spans="1:3" x14ac:dyDescent="0.25">
      <c r="A95" s="2">
        <v>93</v>
      </c>
      <c r="B95" s="2">
        <f t="shared" si="2"/>
        <v>826944</v>
      </c>
      <c r="C95" s="2">
        <f t="shared" si="3"/>
        <v>1427360</v>
      </c>
    </row>
    <row r="96" spans="1:3" x14ac:dyDescent="0.25">
      <c r="A96" s="2">
        <v>94</v>
      </c>
      <c r="B96" s="2">
        <f t="shared" si="2"/>
        <v>913018</v>
      </c>
      <c r="C96" s="2">
        <f t="shared" si="3"/>
        <v>1575929</v>
      </c>
    </row>
    <row r="97" spans="1:3" x14ac:dyDescent="0.25">
      <c r="A97" s="2">
        <v>95</v>
      </c>
      <c r="B97" s="2">
        <f t="shared" si="2"/>
        <v>1008052</v>
      </c>
      <c r="C97" s="2">
        <f t="shared" si="3"/>
        <v>1739962</v>
      </c>
    </row>
    <row r="98" spans="1:3" x14ac:dyDescent="0.25">
      <c r="A98" s="2">
        <v>96</v>
      </c>
      <c r="B98" s="2">
        <f t="shared" si="2"/>
        <v>1112977</v>
      </c>
      <c r="C98" s="2">
        <f t="shared" si="3"/>
        <v>1921070</v>
      </c>
    </row>
    <row r="99" spans="1:3" x14ac:dyDescent="0.25">
      <c r="A99" s="2">
        <v>97</v>
      </c>
      <c r="B99" s="2">
        <f t="shared" si="2"/>
        <v>1228824</v>
      </c>
      <c r="C99" s="2">
        <f t="shared" si="3"/>
        <v>2121029</v>
      </c>
    </row>
    <row r="100" spans="1:3" x14ac:dyDescent="0.25">
      <c r="A100" s="2">
        <v>98</v>
      </c>
      <c r="B100" s="2">
        <f t="shared" si="2"/>
        <v>1356729</v>
      </c>
      <c r="C100" s="2">
        <f t="shared" si="3"/>
        <v>2341801</v>
      </c>
    </row>
    <row r="101" spans="1:3" x14ac:dyDescent="0.25">
      <c r="A101" s="2">
        <v>99</v>
      </c>
      <c r="B101" s="2">
        <f t="shared" si="2"/>
        <v>1497948</v>
      </c>
      <c r="C101" s="2">
        <f t="shared" si="3"/>
        <v>2585553</v>
      </c>
    </row>
    <row r="102" spans="1:3" x14ac:dyDescent="0.25">
      <c r="A102" s="2">
        <v>100</v>
      </c>
      <c r="B102" s="2">
        <f t="shared" si="2"/>
        <v>1653867</v>
      </c>
      <c r="C102" s="2">
        <f t="shared" si="3"/>
        <v>2854677</v>
      </c>
    </row>
    <row r="103" spans="1:3" x14ac:dyDescent="0.25">
      <c r="A103" s="2">
        <v>101</v>
      </c>
      <c r="B103" s="2">
        <f t="shared" si="2"/>
        <v>1826015</v>
      </c>
      <c r="C103" s="2">
        <f t="shared" si="3"/>
        <v>3151815</v>
      </c>
    </row>
    <row r="104" spans="1:3" x14ac:dyDescent="0.25">
      <c r="A104" s="2">
        <v>102</v>
      </c>
      <c r="B104" s="2">
        <f t="shared" si="2"/>
        <v>2016081</v>
      </c>
      <c r="C104" s="2">
        <f t="shared" si="3"/>
        <v>3479882</v>
      </c>
    </row>
    <row r="105" spans="1:3" x14ac:dyDescent="0.25">
      <c r="A105" s="2">
        <v>103</v>
      </c>
      <c r="B105" s="2">
        <f t="shared" si="2"/>
        <v>2225932</v>
      </c>
      <c r="C105" s="2">
        <f t="shared" si="3"/>
        <v>3842096</v>
      </c>
    </row>
    <row r="106" spans="1:3" x14ac:dyDescent="0.25">
      <c r="A106" s="2">
        <v>104</v>
      </c>
      <c r="B106" s="2">
        <f t="shared" si="2"/>
        <v>2457626</v>
      </c>
      <c r="C106" s="2">
        <f t="shared" si="3"/>
        <v>4242013</v>
      </c>
    </row>
    <row r="107" spans="1:3" x14ac:dyDescent="0.25">
      <c r="A107" s="2">
        <v>105</v>
      </c>
      <c r="B107" s="2">
        <f t="shared" si="2"/>
        <v>2713436</v>
      </c>
      <c r="C107" s="2">
        <f t="shared" si="3"/>
        <v>4683558</v>
      </c>
    </row>
    <row r="108" spans="1:3" x14ac:dyDescent="0.25">
      <c r="A108" s="2">
        <v>106</v>
      </c>
      <c r="B108" s="2">
        <f t="shared" si="2"/>
        <v>2995874</v>
      </c>
      <c r="C108" s="2">
        <f t="shared" si="3"/>
        <v>5171062</v>
      </c>
    </row>
    <row r="109" spans="1:3" x14ac:dyDescent="0.25">
      <c r="A109" s="2">
        <v>107</v>
      </c>
      <c r="B109" s="2">
        <f t="shared" si="2"/>
        <v>3307711</v>
      </c>
      <c r="C109" s="2">
        <f t="shared" si="3"/>
        <v>5709310</v>
      </c>
    </row>
    <row r="110" spans="1:3" x14ac:dyDescent="0.25">
      <c r="A110" s="2">
        <v>108</v>
      </c>
      <c r="B110" s="2">
        <f t="shared" si="2"/>
        <v>3652006</v>
      </c>
      <c r="C110" s="2">
        <f t="shared" si="3"/>
        <v>6303585</v>
      </c>
    </row>
    <row r="111" spans="1:3" x14ac:dyDescent="0.25">
      <c r="A111" s="2">
        <v>109</v>
      </c>
      <c r="B111" s="2">
        <f t="shared" si="2"/>
        <v>4032139</v>
      </c>
      <c r="C111" s="2">
        <f t="shared" si="3"/>
        <v>6959717</v>
      </c>
    </row>
    <row r="112" spans="1:3" x14ac:dyDescent="0.25">
      <c r="A112" s="2">
        <v>110</v>
      </c>
      <c r="B112" s="2">
        <f t="shared" si="2"/>
        <v>4451840</v>
      </c>
      <c r="C112" s="2">
        <f t="shared" si="3"/>
        <v>7684145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Klasy</vt:lpstr>
      <vt:lpstr>Doświadczenie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Użytkownik systemu Windows</cp:lastModifiedBy>
  <dcterms:created xsi:type="dcterms:W3CDTF">2020-11-25T19:20:50Z</dcterms:created>
  <dcterms:modified xsi:type="dcterms:W3CDTF">2020-11-26T12:02:55Z</dcterms:modified>
</cp:coreProperties>
</file>